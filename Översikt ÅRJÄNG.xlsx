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46051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46051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46051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46051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46051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46051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46051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46051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46051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46051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46051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46051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46051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46051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46051</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17268-2022</t>
        </is>
      </c>
      <c r="B17" s="1" t="n">
        <v>44678</v>
      </c>
      <c r="C17" s="1" t="n">
        <v>46051</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46051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46051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46051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46051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46051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46051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46051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46051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46051</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46051</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46051</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46051</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46051</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46051</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46051</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46051</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46051</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46051</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46051</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7447-2024</t>
        </is>
      </c>
      <c r="B37" s="1" t="n">
        <v>45345</v>
      </c>
      <c r="C37" s="1" t="n">
        <v>46051</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46051</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34188-2021</t>
        </is>
      </c>
      <c r="B39" s="1" t="n">
        <v>44379</v>
      </c>
      <c r="C39" s="1" t="n">
        <v>46051</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27001-2025</t>
        </is>
      </c>
      <c r="B40" s="1" t="n">
        <v>45811</v>
      </c>
      <c r="C40" s="1" t="n">
        <v>46051</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14898-2025</t>
        </is>
      </c>
      <c r="B41" s="1" t="n">
        <v>45743.47967592593</v>
      </c>
      <c r="C41" s="1" t="n">
        <v>46051</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45230-2025</t>
        </is>
      </c>
      <c r="B42" s="1" t="n">
        <v>45919</v>
      </c>
      <c r="C42" s="1" t="n">
        <v>46051</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30550-2023</t>
        </is>
      </c>
      <c r="B43" s="1" t="n">
        <v>45111</v>
      </c>
      <c r="C43" s="1" t="n">
        <v>46051</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30550-2023 artfynd.xlsx", "A 30550-2023")</f>
        <v/>
      </c>
      <c r="T43">
        <f>HYPERLINK("https://klasma.github.io/Logging_1765/kartor/A 30550-2023 karta.png", "A 30550-2023")</f>
        <v/>
      </c>
      <c r="V43">
        <f>HYPERLINK("https://klasma.github.io/Logging_1765/klagomål/A 30550-2023 FSC-klagomål.docx", "A 30550-2023")</f>
        <v/>
      </c>
      <c r="W43">
        <f>HYPERLINK("https://klasma.github.io/Logging_1765/klagomålsmail/A 30550-2023 FSC-klagomål mail.docx", "A 30550-2023")</f>
        <v/>
      </c>
      <c r="X43">
        <f>HYPERLINK("https://klasma.github.io/Logging_1765/tillsyn/A 30550-2023 tillsynsbegäran.docx", "A 30550-2023")</f>
        <v/>
      </c>
      <c r="Y43">
        <f>HYPERLINK("https://klasma.github.io/Logging_1765/tillsynsmail/A 30550-2023 tillsynsbegäran mail.docx", "A 30550-2023")</f>
        <v/>
      </c>
    </row>
    <row r="44" ht="15" customHeight="1">
      <c r="A44" t="inlineStr">
        <is>
          <t>A 47476-2025</t>
        </is>
      </c>
      <c r="B44" s="1" t="n">
        <v>45930.67951388889</v>
      </c>
      <c r="C44" s="1" t="n">
        <v>46051</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36385-2025</t>
        </is>
      </c>
      <c r="B45" s="1" t="n">
        <v>45868</v>
      </c>
      <c r="C45" s="1" t="n">
        <v>46051</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47631-2025</t>
        </is>
      </c>
      <c r="B46" s="1" t="n">
        <v>45931</v>
      </c>
      <c r="C46" s="1" t="n">
        <v>46051</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57430-2025</t>
        </is>
      </c>
      <c r="B47" s="1" t="n">
        <v>45980.47327546297</v>
      </c>
      <c r="C47" s="1" t="n">
        <v>46051</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28317-2023</t>
        </is>
      </c>
      <c r="B48" s="1" t="n">
        <v>45099</v>
      </c>
      <c r="C48" s="1" t="n">
        <v>46051</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46051</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46051</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46051</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46051</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46051</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52826-2022</t>
        </is>
      </c>
      <c r="B54" s="1" t="n">
        <v>44875.45353009259</v>
      </c>
      <c r="C54" s="1" t="n">
        <v>46051</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46051</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46051</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46051</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46051</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46051</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46051</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46051</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46051</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47642-2021</t>
        </is>
      </c>
      <c r="B63" s="1" t="n">
        <v>44448.39857638889</v>
      </c>
      <c r="C63" s="1" t="n">
        <v>46051</v>
      </c>
      <c r="D63" t="inlineStr">
        <is>
          <t>VÄRMLANDS LÄN</t>
        </is>
      </c>
      <c r="E63" t="inlineStr">
        <is>
          <t>ÅRJÄNG</t>
        </is>
      </c>
      <c r="G63" t="n">
        <v>2.3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46051</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46051</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46051</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46051</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46051</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46051</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46051</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46051</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46051</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46051</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46051</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46051</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46051</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46051</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13115-2021</t>
        </is>
      </c>
      <c r="B78" s="1" t="n">
        <v>44272</v>
      </c>
      <c r="C78" s="1" t="n">
        <v>46051</v>
      </c>
      <c r="D78" t="inlineStr">
        <is>
          <t>VÄRMLANDS LÄN</t>
        </is>
      </c>
      <c r="E78" t="inlineStr">
        <is>
          <t>ÅRJÄNG</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46051</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46051</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46051</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46051</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46051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46051</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46051</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46051</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46051</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46051</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46051</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46051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46051</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46051</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46051</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46051</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46051</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46051</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46051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46051</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46051</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46051</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46051</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46051</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46051</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46051</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46051</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46051</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46051</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46051</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46051</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46051</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46051</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46051</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46051</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46051</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46051</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46051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46051</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46051</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46051</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46051</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46051</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46051</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46051</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46051</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46051</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46051</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50223-2021</t>
        </is>
      </c>
      <c r="B127" s="1" t="n">
        <v>44457</v>
      </c>
      <c r="C127" s="1" t="n">
        <v>46051</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27745-2021</t>
        </is>
      </c>
      <c r="B128" s="1" t="n">
        <v>44354</v>
      </c>
      <c r="C128" s="1" t="n">
        <v>46051</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46051</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46051</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10541-2021</t>
        </is>
      </c>
      <c r="B131" s="1" t="n">
        <v>44258</v>
      </c>
      <c r="C131" s="1" t="n">
        <v>46051</v>
      </c>
      <c r="D131" t="inlineStr">
        <is>
          <t>VÄRMLANDS LÄN</t>
        </is>
      </c>
      <c r="E131" t="inlineStr">
        <is>
          <t>ÅRJÄNG</t>
        </is>
      </c>
      <c r="G131" t="n">
        <v>0.7</v>
      </c>
      <c r="H131" t="n">
        <v>0</v>
      </c>
      <c r="I131" t="n">
        <v>0</v>
      </c>
      <c r="J131" t="n">
        <v>0</v>
      </c>
      <c r="K131" t="n">
        <v>0</v>
      </c>
      <c r="L131" t="n">
        <v>0</v>
      </c>
      <c r="M131" t="n">
        <v>0</v>
      </c>
      <c r="N131" t="n">
        <v>0</v>
      </c>
      <c r="O131" t="n">
        <v>0</v>
      </c>
      <c r="P131" t="n">
        <v>0</v>
      </c>
      <c r="Q131" t="n">
        <v>0</v>
      </c>
      <c r="R131" s="2" t="inlineStr"/>
    </row>
    <row r="132" ht="15" customHeight="1">
      <c r="A132" t="inlineStr">
        <is>
          <t>A 74187-2021</t>
        </is>
      </c>
      <c r="B132" s="1" t="n">
        <v>44553</v>
      </c>
      <c r="C132" s="1" t="n">
        <v>46051</v>
      </c>
      <c r="D132" t="inlineStr">
        <is>
          <t>VÄRMLANDS LÄN</t>
        </is>
      </c>
      <c r="E132" t="inlineStr">
        <is>
          <t>ÅRJÄNG</t>
        </is>
      </c>
      <c r="G132" t="n">
        <v>1</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46051</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46051</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48622-2022</t>
        </is>
      </c>
      <c r="B135" s="1" t="n">
        <v>44859</v>
      </c>
      <c r="C135" s="1" t="n">
        <v>46051</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46051</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16176-2021</t>
        </is>
      </c>
      <c r="B137" s="1" t="n">
        <v>44292</v>
      </c>
      <c r="C137" s="1" t="n">
        <v>46051</v>
      </c>
      <c r="D137" t="inlineStr">
        <is>
          <t>VÄRMLANDS LÄN</t>
        </is>
      </c>
      <c r="E137" t="inlineStr">
        <is>
          <t>ÅRJÄNG</t>
        </is>
      </c>
      <c r="G137" t="n">
        <v>1.8</v>
      </c>
      <c r="H137" t="n">
        <v>0</v>
      </c>
      <c r="I137" t="n">
        <v>0</v>
      </c>
      <c r="J137" t="n">
        <v>0</v>
      </c>
      <c r="K137" t="n">
        <v>0</v>
      </c>
      <c r="L137" t="n">
        <v>0</v>
      </c>
      <c r="M137" t="n">
        <v>0</v>
      </c>
      <c r="N137" t="n">
        <v>0</v>
      </c>
      <c r="O137" t="n">
        <v>0</v>
      </c>
      <c r="P137" t="n">
        <v>0</v>
      </c>
      <c r="Q137" t="n">
        <v>0</v>
      </c>
      <c r="R137" s="2" t="inlineStr"/>
    </row>
    <row r="138" ht="15" customHeight="1">
      <c r="A138" t="inlineStr">
        <is>
          <t>A 52730-2021</t>
        </is>
      </c>
      <c r="B138" s="1" t="n">
        <v>44467.29457175926</v>
      </c>
      <c r="C138" s="1" t="n">
        <v>46051</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46051</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46051</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46051</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46051</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11157-2021</t>
        </is>
      </c>
      <c r="B143" s="1" t="n">
        <v>44261</v>
      </c>
      <c r="C143" s="1" t="n">
        <v>46051</v>
      </c>
      <c r="D143" t="inlineStr">
        <is>
          <t>VÄRMLANDS LÄN</t>
        </is>
      </c>
      <c r="E143" t="inlineStr">
        <is>
          <t>ÅRJÄNG</t>
        </is>
      </c>
      <c r="G143" t="n">
        <v>9</v>
      </c>
      <c r="H143" t="n">
        <v>0</v>
      </c>
      <c r="I143" t="n">
        <v>0</v>
      </c>
      <c r="J143" t="n">
        <v>0</v>
      </c>
      <c r="K143" t="n">
        <v>0</v>
      </c>
      <c r="L143" t="n">
        <v>0</v>
      </c>
      <c r="M143" t="n">
        <v>0</v>
      </c>
      <c r="N143" t="n">
        <v>0</v>
      </c>
      <c r="O143" t="n">
        <v>0</v>
      </c>
      <c r="P143" t="n">
        <v>0</v>
      </c>
      <c r="Q143" t="n">
        <v>0</v>
      </c>
      <c r="R143" s="2" t="inlineStr"/>
    </row>
    <row r="144" ht="15" customHeight="1">
      <c r="A144" t="inlineStr">
        <is>
          <t>A 28934-2022</t>
        </is>
      </c>
      <c r="B144" s="1" t="n">
        <v>44749.58420138889</v>
      </c>
      <c r="C144" s="1" t="n">
        <v>46051</v>
      </c>
      <c r="D144" t="inlineStr">
        <is>
          <t>VÄRMLANDS LÄN</t>
        </is>
      </c>
      <c r="E144" t="inlineStr">
        <is>
          <t>ÅRJÄNG</t>
        </is>
      </c>
      <c r="G144" t="n">
        <v>0.6</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46051</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46051</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46051</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46051</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46051</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46051</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46051</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17248-2021</t>
        </is>
      </c>
      <c r="B152" s="1" t="n">
        <v>44298.53222222222</v>
      </c>
      <c r="C152" s="1" t="n">
        <v>46051</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29701-2021</t>
        </is>
      </c>
      <c r="B153" s="1" t="n">
        <v>44362</v>
      </c>
      <c r="C153" s="1" t="n">
        <v>46051</v>
      </c>
      <c r="D153" t="inlineStr">
        <is>
          <t>VÄRMLANDS LÄN</t>
        </is>
      </c>
      <c r="E153" t="inlineStr">
        <is>
          <t>ÅRJÄNG</t>
        </is>
      </c>
      <c r="G153" t="n">
        <v>1.5</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46051</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50858-2021</t>
        </is>
      </c>
      <c r="B155" s="1" t="n">
        <v>44459</v>
      </c>
      <c r="C155" s="1" t="n">
        <v>46051</v>
      </c>
      <c r="D155" t="inlineStr">
        <is>
          <t>VÄRMLANDS LÄN</t>
        </is>
      </c>
      <c r="E155" t="inlineStr">
        <is>
          <t>ÅRJÄNG</t>
        </is>
      </c>
      <c r="G155" t="n">
        <v>7.2</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46051</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46051</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42963-2021</t>
        </is>
      </c>
      <c r="B158" s="1" t="n">
        <v>44431</v>
      </c>
      <c r="C158" s="1" t="n">
        <v>46051</v>
      </c>
      <c r="D158" t="inlineStr">
        <is>
          <t>VÄRMLANDS LÄN</t>
        </is>
      </c>
      <c r="E158" t="inlineStr">
        <is>
          <t>ÅRJÄNG</t>
        </is>
      </c>
      <c r="G158" t="n">
        <v>5.6</v>
      </c>
      <c r="H158" t="n">
        <v>0</v>
      </c>
      <c r="I158" t="n">
        <v>0</v>
      </c>
      <c r="J158" t="n">
        <v>0</v>
      </c>
      <c r="K158" t="n">
        <v>0</v>
      </c>
      <c r="L158" t="n">
        <v>0</v>
      </c>
      <c r="M158" t="n">
        <v>0</v>
      </c>
      <c r="N158" t="n">
        <v>0</v>
      </c>
      <c r="O158" t="n">
        <v>0</v>
      </c>
      <c r="P158" t="n">
        <v>0</v>
      </c>
      <c r="Q158" t="n">
        <v>0</v>
      </c>
      <c r="R158" s="2" t="inlineStr"/>
    </row>
    <row r="159" ht="15" customHeight="1">
      <c r="A159" t="inlineStr">
        <is>
          <t>A 2970-2022</t>
        </is>
      </c>
      <c r="B159" s="1" t="n">
        <v>44581.71481481481</v>
      </c>
      <c r="C159" s="1" t="n">
        <v>46051</v>
      </c>
      <c r="D159" t="inlineStr">
        <is>
          <t>VÄRMLANDS LÄN</t>
        </is>
      </c>
      <c r="E159" t="inlineStr">
        <is>
          <t>ÅRJÄNG</t>
        </is>
      </c>
      <c r="G159" t="n">
        <v>0.7</v>
      </c>
      <c r="H159" t="n">
        <v>0</v>
      </c>
      <c r="I159" t="n">
        <v>0</v>
      </c>
      <c r="J159" t="n">
        <v>0</v>
      </c>
      <c r="K159" t="n">
        <v>0</v>
      </c>
      <c r="L159" t="n">
        <v>0</v>
      </c>
      <c r="M159" t="n">
        <v>0</v>
      </c>
      <c r="N159" t="n">
        <v>0</v>
      </c>
      <c r="O159" t="n">
        <v>0</v>
      </c>
      <c r="P159" t="n">
        <v>0</v>
      </c>
      <c r="Q159" t="n">
        <v>0</v>
      </c>
      <c r="R159" s="2" t="inlineStr"/>
    </row>
    <row r="160" ht="15" customHeight="1">
      <c r="A160" t="inlineStr">
        <is>
          <t>A 62289-2021</t>
        </is>
      </c>
      <c r="B160" s="1" t="n">
        <v>44503.37527777778</v>
      </c>
      <c r="C160" s="1" t="n">
        <v>46051</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46051</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41982-2022</t>
        </is>
      </c>
      <c r="B162" s="1" t="n">
        <v>44830.43512731481</v>
      </c>
      <c r="C162" s="1" t="n">
        <v>46051</v>
      </c>
      <c r="D162" t="inlineStr">
        <is>
          <t>VÄRMLANDS LÄN</t>
        </is>
      </c>
      <c r="E162" t="inlineStr">
        <is>
          <t>ÅRJÄNG</t>
        </is>
      </c>
      <c r="G162" t="n">
        <v>1.2</v>
      </c>
      <c r="H162" t="n">
        <v>0</v>
      </c>
      <c r="I162" t="n">
        <v>0</v>
      </c>
      <c r="J162" t="n">
        <v>0</v>
      </c>
      <c r="K162" t="n">
        <v>0</v>
      </c>
      <c r="L162" t="n">
        <v>0</v>
      </c>
      <c r="M162" t="n">
        <v>0</v>
      </c>
      <c r="N162" t="n">
        <v>0</v>
      </c>
      <c r="O162" t="n">
        <v>0</v>
      </c>
      <c r="P162" t="n">
        <v>0</v>
      </c>
      <c r="Q162" t="n">
        <v>0</v>
      </c>
      <c r="R162" s="2" t="inlineStr"/>
    </row>
    <row r="163" ht="15" customHeight="1">
      <c r="A163" t="inlineStr">
        <is>
          <t>A 40832-2021</t>
        </is>
      </c>
      <c r="B163" s="1" t="n">
        <v>44421</v>
      </c>
      <c r="C163" s="1" t="n">
        <v>46051</v>
      </c>
      <c r="D163" t="inlineStr">
        <is>
          <t>VÄRMLANDS LÄN</t>
        </is>
      </c>
      <c r="E163" t="inlineStr">
        <is>
          <t>ÅRJÄNG</t>
        </is>
      </c>
      <c r="G163" t="n">
        <v>0.5</v>
      </c>
      <c r="H163" t="n">
        <v>0</v>
      </c>
      <c r="I163" t="n">
        <v>0</v>
      </c>
      <c r="J163" t="n">
        <v>0</v>
      </c>
      <c r="K163" t="n">
        <v>0</v>
      </c>
      <c r="L163" t="n">
        <v>0</v>
      </c>
      <c r="M163" t="n">
        <v>0</v>
      </c>
      <c r="N163" t="n">
        <v>0</v>
      </c>
      <c r="O163" t="n">
        <v>0</v>
      </c>
      <c r="P163" t="n">
        <v>0</v>
      </c>
      <c r="Q163" t="n">
        <v>0</v>
      </c>
      <c r="R163" s="2" t="inlineStr"/>
    </row>
    <row r="164" ht="15" customHeight="1">
      <c r="A164" t="inlineStr">
        <is>
          <t>A 53052-2021</t>
        </is>
      </c>
      <c r="B164" s="1" t="n">
        <v>44467</v>
      </c>
      <c r="C164" s="1" t="n">
        <v>46051</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59466-2021</t>
        </is>
      </c>
      <c r="B165" s="1" t="n">
        <v>44491</v>
      </c>
      <c r="C165" s="1" t="n">
        <v>46051</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46051</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46051</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46051</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46051</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46051</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46051</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46051</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70883-2021</t>
        </is>
      </c>
      <c r="B173" s="1" t="n">
        <v>44538.39300925926</v>
      </c>
      <c r="C173" s="1" t="n">
        <v>46051</v>
      </c>
      <c r="D173" t="inlineStr">
        <is>
          <t>VÄRMLANDS LÄN</t>
        </is>
      </c>
      <c r="E173" t="inlineStr">
        <is>
          <t>ÅRJÄNG</t>
        </is>
      </c>
      <c r="G173" t="n">
        <v>1</v>
      </c>
      <c r="H173" t="n">
        <v>0</v>
      </c>
      <c r="I173" t="n">
        <v>0</v>
      </c>
      <c r="J173" t="n">
        <v>0</v>
      </c>
      <c r="K173" t="n">
        <v>0</v>
      </c>
      <c r="L173" t="n">
        <v>0</v>
      </c>
      <c r="M173" t="n">
        <v>0</v>
      </c>
      <c r="N173" t="n">
        <v>0</v>
      </c>
      <c r="O173" t="n">
        <v>0</v>
      </c>
      <c r="P173" t="n">
        <v>0</v>
      </c>
      <c r="Q173" t="n">
        <v>0</v>
      </c>
      <c r="R173" s="2" t="inlineStr"/>
    </row>
    <row r="174" ht="15" customHeight="1">
      <c r="A174" t="inlineStr">
        <is>
          <t>A 59341-2021</t>
        </is>
      </c>
      <c r="B174" s="1" t="n">
        <v>44491</v>
      </c>
      <c r="C174" s="1" t="n">
        <v>46051</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46051</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46051</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7555-2021</t>
        </is>
      </c>
      <c r="B177" s="1" t="n">
        <v>44239</v>
      </c>
      <c r="C177" s="1" t="n">
        <v>46051</v>
      </c>
      <c r="D177" t="inlineStr">
        <is>
          <t>VÄRMLANDS LÄN</t>
        </is>
      </c>
      <c r="E177" t="inlineStr">
        <is>
          <t>ÅRJÄNG</t>
        </is>
      </c>
      <c r="G177" t="n">
        <v>1.9</v>
      </c>
      <c r="H177" t="n">
        <v>0</v>
      </c>
      <c r="I177" t="n">
        <v>0</v>
      </c>
      <c r="J177" t="n">
        <v>0</v>
      </c>
      <c r="K177" t="n">
        <v>0</v>
      </c>
      <c r="L177" t="n">
        <v>0</v>
      </c>
      <c r="M177" t="n">
        <v>0</v>
      </c>
      <c r="N177" t="n">
        <v>0</v>
      </c>
      <c r="O177" t="n">
        <v>0</v>
      </c>
      <c r="P177" t="n">
        <v>0</v>
      </c>
      <c r="Q177" t="n">
        <v>0</v>
      </c>
      <c r="R177" s="2" t="inlineStr"/>
    </row>
    <row r="178" ht="15" customHeight="1">
      <c r="A178" t="inlineStr">
        <is>
          <t>A 40439-2022</t>
        </is>
      </c>
      <c r="B178" s="1" t="n">
        <v>44823.4903125</v>
      </c>
      <c r="C178" s="1" t="n">
        <v>46051</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46051</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46051</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46051</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46051</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46051</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17927-2021</t>
        </is>
      </c>
      <c r="B184" s="1" t="n">
        <v>44301</v>
      </c>
      <c r="C184" s="1" t="n">
        <v>46051</v>
      </c>
      <c r="D184" t="inlineStr">
        <is>
          <t>VÄRMLANDS LÄN</t>
        </is>
      </c>
      <c r="E184" t="inlineStr">
        <is>
          <t>ÅRJÄNG</t>
        </is>
      </c>
      <c r="G184" t="n">
        <v>3.4</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46051</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10612-2022</t>
        </is>
      </c>
      <c r="B186" s="1" t="n">
        <v>44624</v>
      </c>
      <c r="C186" s="1" t="n">
        <v>46051</v>
      </c>
      <c r="D186" t="inlineStr">
        <is>
          <t>VÄRMLANDS LÄN</t>
        </is>
      </c>
      <c r="E186" t="inlineStr">
        <is>
          <t>ÅRJÄNG</t>
        </is>
      </c>
      <c r="G186" t="n">
        <v>6.8</v>
      </c>
      <c r="H186" t="n">
        <v>0</v>
      </c>
      <c r="I186" t="n">
        <v>0</v>
      </c>
      <c r="J186" t="n">
        <v>0</v>
      </c>
      <c r="K186" t="n">
        <v>0</v>
      </c>
      <c r="L186" t="n">
        <v>0</v>
      </c>
      <c r="M186" t="n">
        <v>0</v>
      </c>
      <c r="N186" t="n">
        <v>0</v>
      </c>
      <c r="O186" t="n">
        <v>0</v>
      </c>
      <c r="P186" t="n">
        <v>0</v>
      </c>
      <c r="Q186" t="n">
        <v>0</v>
      </c>
      <c r="R186" s="2" t="inlineStr"/>
    </row>
    <row r="187" ht="15" customHeight="1">
      <c r="A187" t="inlineStr">
        <is>
          <t>A 36087-2021</t>
        </is>
      </c>
      <c r="B187" s="1" t="n">
        <v>44389</v>
      </c>
      <c r="C187" s="1" t="n">
        <v>46051</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23450-2021</t>
        </is>
      </c>
      <c r="B188" s="1" t="n">
        <v>44333</v>
      </c>
      <c r="C188" s="1" t="n">
        <v>46051</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46051</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73138-2021</t>
        </is>
      </c>
      <c r="B190" s="1" t="n">
        <v>44550</v>
      </c>
      <c r="C190" s="1" t="n">
        <v>46051</v>
      </c>
      <c r="D190" t="inlineStr">
        <is>
          <t>VÄRMLANDS LÄN</t>
        </is>
      </c>
      <c r="E190" t="inlineStr">
        <is>
          <t>ÅRJÄNG</t>
        </is>
      </c>
      <c r="G190" t="n">
        <v>4.3</v>
      </c>
      <c r="H190" t="n">
        <v>0</v>
      </c>
      <c r="I190" t="n">
        <v>0</v>
      </c>
      <c r="J190" t="n">
        <v>0</v>
      </c>
      <c r="K190" t="n">
        <v>0</v>
      </c>
      <c r="L190" t="n">
        <v>0</v>
      </c>
      <c r="M190" t="n">
        <v>0</v>
      </c>
      <c r="N190" t="n">
        <v>0</v>
      </c>
      <c r="O190" t="n">
        <v>0</v>
      </c>
      <c r="P190" t="n">
        <v>0</v>
      </c>
      <c r="Q190" t="n">
        <v>0</v>
      </c>
      <c r="R190" s="2" t="inlineStr"/>
    </row>
    <row r="191" ht="15" customHeight="1">
      <c r="A191" t="inlineStr">
        <is>
          <t>A 74189-2021</t>
        </is>
      </c>
      <c r="B191" s="1" t="n">
        <v>44553</v>
      </c>
      <c r="C191" s="1" t="n">
        <v>46051</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13156-2022</t>
        </is>
      </c>
      <c r="B192" s="1" t="n">
        <v>44643</v>
      </c>
      <c r="C192" s="1" t="n">
        <v>46051</v>
      </c>
      <c r="D192" t="inlineStr">
        <is>
          <t>VÄRMLANDS LÄN</t>
        </is>
      </c>
      <c r="E192" t="inlineStr">
        <is>
          <t>ÅRJÄNG</t>
        </is>
      </c>
      <c r="G192" t="n">
        <v>7.8</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46051</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47005-2021</t>
        </is>
      </c>
      <c r="B194" s="1" t="n">
        <v>44446</v>
      </c>
      <c r="C194" s="1" t="n">
        <v>46051</v>
      </c>
      <c r="D194" t="inlineStr">
        <is>
          <t>VÄRMLANDS LÄN</t>
        </is>
      </c>
      <c r="E194" t="inlineStr">
        <is>
          <t>ÅRJÄNG</t>
        </is>
      </c>
      <c r="G194" t="n">
        <v>6.3</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46051</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47033-2021</t>
        </is>
      </c>
      <c r="B196" s="1" t="n">
        <v>44446</v>
      </c>
      <c r="C196" s="1" t="n">
        <v>46051</v>
      </c>
      <c r="D196" t="inlineStr">
        <is>
          <t>VÄRMLANDS LÄN</t>
        </is>
      </c>
      <c r="E196" t="inlineStr">
        <is>
          <t>ÅRJÄNG</t>
        </is>
      </c>
      <c r="G196" t="n">
        <v>0.6</v>
      </c>
      <c r="H196" t="n">
        <v>0</v>
      </c>
      <c r="I196" t="n">
        <v>0</v>
      </c>
      <c r="J196" t="n">
        <v>0</v>
      </c>
      <c r="K196" t="n">
        <v>0</v>
      </c>
      <c r="L196" t="n">
        <v>0</v>
      </c>
      <c r="M196" t="n">
        <v>0</v>
      </c>
      <c r="N196" t="n">
        <v>0</v>
      </c>
      <c r="O196" t="n">
        <v>0</v>
      </c>
      <c r="P196" t="n">
        <v>0</v>
      </c>
      <c r="Q196" t="n">
        <v>0</v>
      </c>
      <c r="R196" s="2" t="inlineStr"/>
    </row>
    <row r="197" ht="15" customHeight="1">
      <c r="A197" t="inlineStr">
        <is>
          <t>A 9407-2022</t>
        </is>
      </c>
      <c r="B197" s="1" t="n">
        <v>44616.65760416666</v>
      </c>
      <c r="C197" s="1" t="n">
        <v>46051</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8938-2022</t>
        </is>
      </c>
      <c r="B198" s="1" t="n">
        <v>44614.7222337963</v>
      </c>
      <c r="C198" s="1" t="n">
        <v>46051</v>
      </c>
      <c r="D198" t="inlineStr">
        <is>
          <t>VÄRMLANDS LÄN</t>
        </is>
      </c>
      <c r="E198" t="inlineStr">
        <is>
          <t>ÅRJÄNG</t>
        </is>
      </c>
      <c r="G198" t="n">
        <v>11.9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46051</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46051</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46051</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46051</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10006-2022</t>
        </is>
      </c>
      <c r="B203" s="1" t="n">
        <v>44621</v>
      </c>
      <c r="C203" s="1" t="n">
        <v>46051</v>
      </c>
      <c r="D203" t="inlineStr">
        <is>
          <t>VÄRMLANDS LÄN</t>
        </is>
      </c>
      <c r="E203" t="inlineStr">
        <is>
          <t>ÅRJÄNG</t>
        </is>
      </c>
      <c r="G203" t="n">
        <v>3.7</v>
      </c>
      <c r="H203" t="n">
        <v>0</v>
      </c>
      <c r="I203" t="n">
        <v>0</v>
      </c>
      <c r="J203" t="n">
        <v>0</v>
      </c>
      <c r="K203" t="n">
        <v>0</v>
      </c>
      <c r="L203" t="n">
        <v>0</v>
      </c>
      <c r="M203" t="n">
        <v>0</v>
      </c>
      <c r="N203" t="n">
        <v>0</v>
      </c>
      <c r="O203" t="n">
        <v>0</v>
      </c>
      <c r="P203" t="n">
        <v>0</v>
      </c>
      <c r="Q203" t="n">
        <v>0</v>
      </c>
      <c r="R203" s="2" t="inlineStr"/>
    </row>
    <row r="204" ht="15" customHeight="1">
      <c r="A204" t="inlineStr">
        <is>
          <t>A 35015-2021</t>
        </is>
      </c>
      <c r="B204" s="1" t="n">
        <v>44383.69291666667</v>
      </c>
      <c r="C204" s="1" t="n">
        <v>46051</v>
      </c>
      <c r="D204" t="inlineStr">
        <is>
          <t>VÄRMLANDS LÄN</t>
        </is>
      </c>
      <c r="E204" t="inlineStr">
        <is>
          <t>ÅRJÄNG</t>
        </is>
      </c>
      <c r="G204" t="n">
        <v>3.9</v>
      </c>
      <c r="H204" t="n">
        <v>0</v>
      </c>
      <c r="I204" t="n">
        <v>0</v>
      </c>
      <c r="J204" t="n">
        <v>0</v>
      </c>
      <c r="K204" t="n">
        <v>0</v>
      </c>
      <c r="L204" t="n">
        <v>0</v>
      </c>
      <c r="M204" t="n">
        <v>0</v>
      </c>
      <c r="N204" t="n">
        <v>0</v>
      </c>
      <c r="O204" t="n">
        <v>0</v>
      </c>
      <c r="P204" t="n">
        <v>0</v>
      </c>
      <c r="Q204" t="n">
        <v>0</v>
      </c>
      <c r="R204" s="2" t="inlineStr"/>
    </row>
    <row r="205" ht="15" customHeight="1">
      <c r="A205" t="inlineStr">
        <is>
          <t>A 47013-2021</t>
        </is>
      </c>
      <c r="B205" s="1" t="n">
        <v>44446</v>
      </c>
      <c r="C205" s="1" t="n">
        <v>46051</v>
      </c>
      <c r="D205" t="inlineStr">
        <is>
          <t>VÄRMLANDS LÄN</t>
        </is>
      </c>
      <c r="E205" t="inlineStr">
        <is>
          <t>ÅRJÄNG</t>
        </is>
      </c>
      <c r="G205" t="n">
        <v>1.7</v>
      </c>
      <c r="H205" t="n">
        <v>0</v>
      </c>
      <c r="I205" t="n">
        <v>0</v>
      </c>
      <c r="J205" t="n">
        <v>0</v>
      </c>
      <c r="K205" t="n">
        <v>0</v>
      </c>
      <c r="L205" t="n">
        <v>0</v>
      </c>
      <c r="M205" t="n">
        <v>0</v>
      </c>
      <c r="N205" t="n">
        <v>0</v>
      </c>
      <c r="O205" t="n">
        <v>0</v>
      </c>
      <c r="P205" t="n">
        <v>0</v>
      </c>
      <c r="Q205" t="n">
        <v>0</v>
      </c>
      <c r="R205" s="2" t="inlineStr"/>
    </row>
    <row r="206" ht="15" customHeight="1">
      <c r="A206" t="inlineStr">
        <is>
          <t>A 2143-2022</t>
        </is>
      </c>
      <c r="B206" s="1" t="n">
        <v>44571</v>
      </c>
      <c r="C206" s="1" t="n">
        <v>46051</v>
      </c>
      <c r="D206" t="inlineStr">
        <is>
          <t>VÄRMLANDS LÄN</t>
        </is>
      </c>
      <c r="E206" t="inlineStr">
        <is>
          <t>ÅRJÄNG</t>
        </is>
      </c>
      <c r="G206" t="n">
        <v>2.5</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46051</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46051</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46051</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46051</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46051</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46051</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46051</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27862-2021</t>
        </is>
      </c>
      <c r="B214" s="1" t="n">
        <v>44354</v>
      </c>
      <c r="C214" s="1" t="n">
        <v>46051</v>
      </c>
      <c r="D214" t="inlineStr">
        <is>
          <t>VÄRMLANDS LÄN</t>
        </is>
      </c>
      <c r="E214" t="inlineStr">
        <is>
          <t>ÅRJÄNG</t>
        </is>
      </c>
      <c r="G214" t="n">
        <v>3.7</v>
      </c>
      <c r="H214" t="n">
        <v>0</v>
      </c>
      <c r="I214" t="n">
        <v>0</v>
      </c>
      <c r="J214" t="n">
        <v>0</v>
      </c>
      <c r="K214" t="n">
        <v>0</v>
      </c>
      <c r="L214" t="n">
        <v>0</v>
      </c>
      <c r="M214" t="n">
        <v>0</v>
      </c>
      <c r="N214" t="n">
        <v>0</v>
      </c>
      <c r="O214" t="n">
        <v>0</v>
      </c>
      <c r="P214" t="n">
        <v>0</v>
      </c>
      <c r="Q214" t="n">
        <v>0</v>
      </c>
      <c r="R214" s="2" t="inlineStr"/>
    </row>
    <row r="215" ht="15" customHeight="1">
      <c r="A215" t="inlineStr">
        <is>
          <t>A 43034-2021</t>
        </is>
      </c>
      <c r="B215" s="1" t="n">
        <v>44431</v>
      </c>
      <c r="C215" s="1" t="n">
        <v>46051</v>
      </c>
      <c r="D215" t="inlineStr">
        <is>
          <t>VÄRMLANDS LÄN</t>
        </is>
      </c>
      <c r="E215" t="inlineStr">
        <is>
          <t>ÅRJÄNG</t>
        </is>
      </c>
      <c r="G215" t="n">
        <v>1.2</v>
      </c>
      <c r="H215" t="n">
        <v>0</v>
      </c>
      <c r="I215" t="n">
        <v>0</v>
      </c>
      <c r="J215" t="n">
        <v>0</v>
      </c>
      <c r="K215" t="n">
        <v>0</v>
      </c>
      <c r="L215" t="n">
        <v>0</v>
      </c>
      <c r="M215" t="n">
        <v>0</v>
      </c>
      <c r="N215" t="n">
        <v>0</v>
      </c>
      <c r="O215" t="n">
        <v>0</v>
      </c>
      <c r="P215" t="n">
        <v>0</v>
      </c>
      <c r="Q215" t="n">
        <v>0</v>
      </c>
      <c r="R215" s="2" t="inlineStr"/>
    </row>
    <row r="216" ht="15" customHeight="1">
      <c r="A216" t="inlineStr">
        <is>
          <t>A 60715-2021</t>
        </is>
      </c>
      <c r="B216" s="1" t="n">
        <v>44496.70440972222</v>
      </c>
      <c r="C216" s="1" t="n">
        <v>46051</v>
      </c>
      <c r="D216" t="inlineStr">
        <is>
          <t>VÄRMLANDS LÄN</t>
        </is>
      </c>
      <c r="E216" t="inlineStr">
        <is>
          <t>ÅRJÄNG</t>
        </is>
      </c>
      <c r="G216" t="n">
        <v>7.4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46051</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51962-2022</t>
        </is>
      </c>
      <c r="B218" s="1" t="n">
        <v>44872.68225694444</v>
      </c>
      <c r="C218" s="1" t="n">
        <v>46051</v>
      </c>
      <c r="D218" t="inlineStr">
        <is>
          <t>VÄRMLANDS LÄN</t>
        </is>
      </c>
      <c r="E218" t="inlineStr">
        <is>
          <t>ÅRJÄNG</t>
        </is>
      </c>
      <c r="G218" t="n">
        <v>1.7</v>
      </c>
      <c r="H218" t="n">
        <v>0</v>
      </c>
      <c r="I218" t="n">
        <v>0</v>
      </c>
      <c r="J218" t="n">
        <v>0</v>
      </c>
      <c r="K218" t="n">
        <v>0</v>
      </c>
      <c r="L218" t="n">
        <v>0</v>
      </c>
      <c r="M218" t="n">
        <v>0</v>
      </c>
      <c r="N218" t="n">
        <v>0</v>
      </c>
      <c r="O218" t="n">
        <v>0</v>
      </c>
      <c r="P218" t="n">
        <v>0</v>
      </c>
      <c r="Q218" t="n">
        <v>0</v>
      </c>
      <c r="R218" s="2" t="inlineStr"/>
    </row>
    <row r="219" ht="15" customHeight="1">
      <c r="A219" t="inlineStr">
        <is>
          <t>A 36532-2022</t>
        </is>
      </c>
      <c r="B219" s="1" t="n">
        <v>44804</v>
      </c>
      <c r="C219" s="1" t="n">
        <v>46051</v>
      </c>
      <c r="D219" t="inlineStr">
        <is>
          <t>VÄRMLANDS LÄN</t>
        </is>
      </c>
      <c r="E219" t="inlineStr">
        <is>
          <t>ÅRJÄNG</t>
        </is>
      </c>
      <c r="G219" t="n">
        <v>12.7</v>
      </c>
      <c r="H219" t="n">
        <v>0</v>
      </c>
      <c r="I219" t="n">
        <v>0</v>
      </c>
      <c r="J219" t="n">
        <v>0</v>
      </c>
      <c r="K219" t="n">
        <v>0</v>
      </c>
      <c r="L219" t="n">
        <v>0</v>
      </c>
      <c r="M219" t="n">
        <v>0</v>
      </c>
      <c r="N219" t="n">
        <v>0</v>
      </c>
      <c r="O219" t="n">
        <v>0</v>
      </c>
      <c r="P219" t="n">
        <v>0</v>
      </c>
      <c r="Q219" t="n">
        <v>0</v>
      </c>
      <c r="R219" s="2" t="inlineStr"/>
    </row>
    <row r="220" ht="15" customHeight="1">
      <c r="A220" t="inlineStr">
        <is>
          <t>A 1567-2022</t>
        </is>
      </c>
      <c r="B220" s="1" t="n">
        <v>44573</v>
      </c>
      <c r="C220" s="1" t="n">
        <v>46051</v>
      </c>
      <c r="D220" t="inlineStr">
        <is>
          <t>VÄRMLANDS LÄN</t>
        </is>
      </c>
      <c r="E220" t="inlineStr">
        <is>
          <t>ÅRJÄNG</t>
        </is>
      </c>
      <c r="G220" t="n">
        <v>1.8</v>
      </c>
      <c r="H220" t="n">
        <v>0</v>
      </c>
      <c r="I220" t="n">
        <v>0</v>
      </c>
      <c r="J220" t="n">
        <v>0</v>
      </c>
      <c r="K220" t="n">
        <v>0</v>
      </c>
      <c r="L220" t="n">
        <v>0</v>
      </c>
      <c r="M220" t="n">
        <v>0</v>
      </c>
      <c r="N220" t="n">
        <v>0</v>
      </c>
      <c r="O220" t="n">
        <v>0</v>
      </c>
      <c r="P220" t="n">
        <v>0</v>
      </c>
      <c r="Q220" t="n">
        <v>0</v>
      </c>
      <c r="R220" s="2" t="inlineStr"/>
    </row>
    <row r="221" ht="15" customHeight="1">
      <c r="A221" t="inlineStr">
        <is>
          <t>A 6900-2021</t>
        </is>
      </c>
      <c r="B221" s="1" t="n">
        <v>44237</v>
      </c>
      <c r="C221" s="1" t="n">
        <v>46051</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6908-2021</t>
        </is>
      </c>
      <c r="B222" s="1" t="n">
        <v>44237</v>
      </c>
      <c r="C222" s="1" t="n">
        <v>46051</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46051</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46051</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46051</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46051</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46051</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46051</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46051</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46051</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50569-2021</t>
        </is>
      </c>
      <c r="B231" s="1" t="n">
        <v>44459</v>
      </c>
      <c r="C231" s="1" t="n">
        <v>46051</v>
      </c>
      <c r="D231" t="inlineStr">
        <is>
          <t>VÄRMLANDS LÄN</t>
        </is>
      </c>
      <c r="E231" t="inlineStr">
        <is>
          <t>ÅRJÄNG</t>
        </is>
      </c>
      <c r="G231" t="n">
        <v>2.9</v>
      </c>
      <c r="H231" t="n">
        <v>0</v>
      </c>
      <c r="I231" t="n">
        <v>0</v>
      </c>
      <c r="J231" t="n">
        <v>0</v>
      </c>
      <c r="K231" t="n">
        <v>0</v>
      </c>
      <c r="L231" t="n">
        <v>0</v>
      </c>
      <c r="M231" t="n">
        <v>0</v>
      </c>
      <c r="N231" t="n">
        <v>0</v>
      </c>
      <c r="O231" t="n">
        <v>0</v>
      </c>
      <c r="P231" t="n">
        <v>0</v>
      </c>
      <c r="Q231" t="n">
        <v>0</v>
      </c>
      <c r="R231" s="2" t="inlineStr"/>
    </row>
    <row r="232" ht="15" customHeight="1">
      <c r="A232" t="inlineStr">
        <is>
          <t>A 39661-2022</t>
        </is>
      </c>
      <c r="B232" s="1" t="n">
        <v>44818.79202546296</v>
      </c>
      <c r="C232" s="1" t="n">
        <v>46051</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46051</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5259-2021</t>
        </is>
      </c>
      <c r="B234" s="1" t="n">
        <v>44229</v>
      </c>
      <c r="C234" s="1" t="n">
        <v>46051</v>
      </c>
      <c r="D234" t="inlineStr">
        <is>
          <t>VÄRMLANDS LÄN</t>
        </is>
      </c>
      <c r="E234" t="inlineStr">
        <is>
          <t>ÅRJÄNG</t>
        </is>
      </c>
      <c r="G234" t="n">
        <v>5.5</v>
      </c>
      <c r="H234" t="n">
        <v>0</v>
      </c>
      <c r="I234" t="n">
        <v>0</v>
      </c>
      <c r="J234" t="n">
        <v>0</v>
      </c>
      <c r="K234" t="n">
        <v>0</v>
      </c>
      <c r="L234" t="n">
        <v>0</v>
      </c>
      <c r="M234" t="n">
        <v>0</v>
      </c>
      <c r="N234" t="n">
        <v>0</v>
      </c>
      <c r="O234" t="n">
        <v>0</v>
      </c>
      <c r="P234" t="n">
        <v>0</v>
      </c>
      <c r="Q234" t="n">
        <v>0</v>
      </c>
      <c r="R234" s="2" t="inlineStr"/>
    </row>
    <row r="235" ht="15" customHeight="1">
      <c r="A235" t="inlineStr">
        <is>
          <t>A 27871-2021</t>
        </is>
      </c>
      <c r="B235" s="1" t="n">
        <v>44354</v>
      </c>
      <c r="C235" s="1" t="n">
        <v>46051</v>
      </c>
      <c r="D235" t="inlineStr">
        <is>
          <t>VÄRMLANDS LÄN</t>
        </is>
      </c>
      <c r="E235" t="inlineStr">
        <is>
          <t>ÅRJÄNG</t>
        </is>
      </c>
      <c r="G235" t="n">
        <v>2.3</v>
      </c>
      <c r="H235" t="n">
        <v>0</v>
      </c>
      <c r="I235" t="n">
        <v>0</v>
      </c>
      <c r="J235" t="n">
        <v>0</v>
      </c>
      <c r="K235" t="n">
        <v>0</v>
      </c>
      <c r="L235" t="n">
        <v>0</v>
      </c>
      <c r="M235" t="n">
        <v>0</v>
      </c>
      <c r="N235" t="n">
        <v>0</v>
      </c>
      <c r="O235" t="n">
        <v>0</v>
      </c>
      <c r="P235" t="n">
        <v>0</v>
      </c>
      <c r="Q235" t="n">
        <v>0</v>
      </c>
      <c r="R235" s="2" t="inlineStr"/>
    </row>
    <row r="236" ht="15" customHeight="1">
      <c r="A236" t="inlineStr">
        <is>
          <t>A 22158-2021</t>
        </is>
      </c>
      <c r="B236" s="1" t="n">
        <v>44325.57944444445</v>
      </c>
      <c r="C236" s="1" t="n">
        <v>46051</v>
      </c>
      <c r="D236" t="inlineStr">
        <is>
          <t>VÄRMLANDS LÄN</t>
        </is>
      </c>
      <c r="E236" t="inlineStr">
        <is>
          <t>ÅRJÄNG</t>
        </is>
      </c>
      <c r="G236" t="n">
        <v>5</v>
      </c>
      <c r="H236" t="n">
        <v>0</v>
      </c>
      <c r="I236" t="n">
        <v>0</v>
      </c>
      <c r="J236" t="n">
        <v>0</v>
      </c>
      <c r="K236" t="n">
        <v>0</v>
      </c>
      <c r="L236" t="n">
        <v>0</v>
      </c>
      <c r="M236" t="n">
        <v>0</v>
      </c>
      <c r="N236" t="n">
        <v>0</v>
      </c>
      <c r="O236" t="n">
        <v>0</v>
      </c>
      <c r="P236" t="n">
        <v>0</v>
      </c>
      <c r="Q236" t="n">
        <v>0</v>
      </c>
      <c r="R236" s="2" t="inlineStr"/>
    </row>
    <row r="237" ht="15" customHeight="1">
      <c r="A237" t="inlineStr">
        <is>
          <t>A 23451-2021</t>
        </is>
      </c>
      <c r="B237" s="1" t="n">
        <v>44333.89180555556</v>
      </c>
      <c r="C237" s="1" t="n">
        <v>46051</v>
      </c>
      <c r="D237" t="inlineStr">
        <is>
          <t>VÄRMLANDS LÄN</t>
        </is>
      </c>
      <c r="E237" t="inlineStr">
        <is>
          <t>ÅRJÄNG</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5713-2021</t>
        </is>
      </c>
      <c r="B238" s="1" t="n">
        <v>44230</v>
      </c>
      <c r="C238" s="1" t="n">
        <v>46051</v>
      </c>
      <c r="D238" t="inlineStr">
        <is>
          <t>VÄRMLANDS LÄN</t>
        </is>
      </c>
      <c r="E238" t="inlineStr">
        <is>
          <t>ÅRJÄNG</t>
        </is>
      </c>
      <c r="G238" t="n">
        <v>1.1</v>
      </c>
      <c r="H238" t="n">
        <v>0</v>
      </c>
      <c r="I238" t="n">
        <v>0</v>
      </c>
      <c r="J238" t="n">
        <v>0</v>
      </c>
      <c r="K238" t="n">
        <v>0</v>
      </c>
      <c r="L238" t="n">
        <v>0</v>
      </c>
      <c r="M238" t="n">
        <v>0</v>
      </c>
      <c r="N238" t="n">
        <v>0</v>
      </c>
      <c r="O238" t="n">
        <v>0</v>
      </c>
      <c r="P238" t="n">
        <v>0</v>
      </c>
      <c r="Q238" t="n">
        <v>0</v>
      </c>
      <c r="R238" s="2" t="inlineStr"/>
    </row>
    <row r="239" ht="15" customHeight="1">
      <c r="A239" t="inlineStr">
        <is>
          <t>A 30817-2021</t>
        </is>
      </c>
      <c r="B239" s="1" t="n">
        <v>44365</v>
      </c>
      <c r="C239" s="1" t="n">
        <v>46051</v>
      </c>
      <c r="D239" t="inlineStr">
        <is>
          <t>VÄRMLANDS LÄN</t>
        </is>
      </c>
      <c r="E239" t="inlineStr">
        <is>
          <t>ÅRJÄNG</t>
        </is>
      </c>
      <c r="G239" t="n">
        <v>5.6</v>
      </c>
      <c r="H239" t="n">
        <v>0</v>
      </c>
      <c r="I239" t="n">
        <v>0</v>
      </c>
      <c r="J239" t="n">
        <v>0</v>
      </c>
      <c r="K239" t="n">
        <v>0</v>
      </c>
      <c r="L239" t="n">
        <v>0</v>
      </c>
      <c r="M239" t="n">
        <v>0</v>
      </c>
      <c r="N239" t="n">
        <v>0</v>
      </c>
      <c r="O239" t="n">
        <v>0</v>
      </c>
      <c r="P239" t="n">
        <v>0</v>
      </c>
      <c r="Q239" t="n">
        <v>0</v>
      </c>
      <c r="R239" s="2" t="inlineStr"/>
    </row>
    <row r="240" ht="15" customHeight="1">
      <c r="A240" t="inlineStr">
        <is>
          <t>A 7235-2022</t>
        </is>
      </c>
      <c r="B240" s="1" t="n">
        <v>44606</v>
      </c>
      <c r="C240" s="1" t="n">
        <v>46051</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72609-2021</t>
        </is>
      </c>
      <c r="B241" s="1" t="n">
        <v>44546.50645833334</v>
      </c>
      <c r="C241" s="1" t="n">
        <v>46051</v>
      </c>
      <c r="D241" t="inlineStr">
        <is>
          <t>VÄRMLANDS LÄN</t>
        </is>
      </c>
      <c r="E241" t="inlineStr">
        <is>
          <t>ÅRJÄNG</t>
        </is>
      </c>
      <c r="F241" t="inlineStr">
        <is>
          <t>Kyrkan</t>
        </is>
      </c>
      <c r="G241" t="n">
        <v>1.8</v>
      </c>
      <c r="H241" t="n">
        <v>0</v>
      </c>
      <c r="I241" t="n">
        <v>0</v>
      </c>
      <c r="J241" t="n">
        <v>0</v>
      </c>
      <c r="K241" t="n">
        <v>0</v>
      </c>
      <c r="L241" t="n">
        <v>0</v>
      </c>
      <c r="M241" t="n">
        <v>0</v>
      </c>
      <c r="N241" t="n">
        <v>0</v>
      </c>
      <c r="O241" t="n">
        <v>0</v>
      </c>
      <c r="P241" t="n">
        <v>0</v>
      </c>
      <c r="Q241" t="n">
        <v>0</v>
      </c>
      <c r="R241" s="2" t="inlineStr"/>
    </row>
    <row r="242" ht="15" customHeight="1">
      <c r="A242" t="inlineStr">
        <is>
          <t>A 29098-2022</t>
        </is>
      </c>
      <c r="B242" s="1" t="n">
        <v>44750</v>
      </c>
      <c r="C242" s="1" t="n">
        <v>46051</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13152-2022</t>
        </is>
      </c>
      <c r="B243" s="1" t="n">
        <v>44643</v>
      </c>
      <c r="C243" s="1" t="n">
        <v>46051</v>
      </c>
      <c r="D243" t="inlineStr">
        <is>
          <t>VÄRMLANDS LÄN</t>
        </is>
      </c>
      <c r="E243" t="inlineStr">
        <is>
          <t>ÅRJÄNG</t>
        </is>
      </c>
      <c r="G243" t="n">
        <v>4</v>
      </c>
      <c r="H243" t="n">
        <v>0</v>
      </c>
      <c r="I243" t="n">
        <v>0</v>
      </c>
      <c r="J243" t="n">
        <v>0</v>
      </c>
      <c r="K243" t="n">
        <v>0</v>
      </c>
      <c r="L243" t="n">
        <v>0</v>
      </c>
      <c r="M243" t="n">
        <v>0</v>
      </c>
      <c r="N243" t="n">
        <v>0</v>
      </c>
      <c r="O243" t="n">
        <v>0</v>
      </c>
      <c r="P243" t="n">
        <v>0</v>
      </c>
      <c r="Q243" t="n">
        <v>0</v>
      </c>
      <c r="R243" s="2" t="inlineStr"/>
    </row>
    <row r="244" ht="15" customHeight="1">
      <c r="A244" t="inlineStr">
        <is>
          <t>A 16676-2021</t>
        </is>
      </c>
      <c r="B244" s="1" t="n">
        <v>44294.5668287037</v>
      </c>
      <c r="C244" s="1" t="n">
        <v>46051</v>
      </c>
      <c r="D244" t="inlineStr">
        <is>
          <t>VÄRMLANDS LÄN</t>
        </is>
      </c>
      <c r="E244" t="inlineStr">
        <is>
          <t>ÅRJÄNG</t>
        </is>
      </c>
      <c r="G244" t="n">
        <v>4.3</v>
      </c>
      <c r="H244" t="n">
        <v>0</v>
      </c>
      <c r="I244" t="n">
        <v>0</v>
      </c>
      <c r="J244" t="n">
        <v>0</v>
      </c>
      <c r="K244" t="n">
        <v>0</v>
      </c>
      <c r="L244" t="n">
        <v>0</v>
      </c>
      <c r="M244" t="n">
        <v>0</v>
      </c>
      <c r="N244" t="n">
        <v>0</v>
      </c>
      <c r="O244" t="n">
        <v>0</v>
      </c>
      <c r="P244" t="n">
        <v>0</v>
      </c>
      <c r="Q244" t="n">
        <v>0</v>
      </c>
      <c r="R244" s="2" t="inlineStr"/>
    </row>
    <row r="245" ht="15" customHeight="1">
      <c r="A245" t="inlineStr">
        <is>
          <t>A 8408-2022</t>
        </is>
      </c>
      <c r="B245" s="1" t="n">
        <v>44610</v>
      </c>
      <c r="C245" s="1" t="n">
        <v>46051</v>
      </c>
      <c r="D245" t="inlineStr">
        <is>
          <t>VÄRMLANDS LÄN</t>
        </is>
      </c>
      <c r="E245" t="inlineStr">
        <is>
          <t>ÅRJÄNG</t>
        </is>
      </c>
      <c r="G245" t="n">
        <v>3.9</v>
      </c>
      <c r="H245" t="n">
        <v>0</v>
      </c>
      <c r="I245" t="n">
        <v>0</v>
      </c>
      <c r="J245" t="n">
        <v>0</v>
      </c>
      <c r="K245" t="n">
        <v>0</v>
      </c>
      <c r="L245" t="n">
        <v>0</v>
      </c>
      <c r="M245" t="n">
        <v>0</v>
      </c>
      <c r="N245" t="n">
        <v>0</v>
      </c>
      <c r="O245" t="n">
        <v>0</v>
      </c>
      <c r="P245" t="n">
        <v>0</v>
      </c>
      <c r="Q245" t="n">
        <v>0</v>
      </c>
      <c r="R245" s="2" t="inlineStr"/>
    </row>
    <row r="246" ht="15" customHeight="1">
      <c r="A246" t="inlineStr">
        <is>
          <t>A 29174-2022</t>
        </is>
      </c>
      <c r="B246" s="1" t="n">
        <v>44750</v>
      </c>
      <c r="C246" s="1" t="n">
        <v>46051</v>
      </c>
      <c r="D246" t="inlineStr">
        <is>
          <t>VÄRMLANDS LÄN</t>
        </is>
      </c>
      <c r="E246" t="inlineStr">
        <is>
          <t>ÅRJÄNG</t>
        </is>
      </c>
      <c r="G246" t="n">
        <v>0.1</v>
      </c>
      <c r="H246" t="n">
        <v>0</v>
      </c>
      <c r="I246" t="n">
        <v>0</v>
      </c>
      <c r="J246" t="n">
        <v>0</v>
      </c>
      <c r="K246" t="n">
        <v>0</v>
      </c>
      <c r="L246" t="n">
        <v>0</v>
      </c>
      <c r="M246" t="n">
        <v>0</v>
      </c>
      <c r="N246" t="n">
        <v>0</v>
      </c>
      <c r="O246" t="n">
        <v>0</v>
      </c>
      <c r="P246" t="n">
        <v>0</v>
      </c>
      <c r="Q246" t="n">
        <v>0</v>
      </c>
      <c r="R246" s="2" t="inlineStr"/>
    </row>
    <row r="247" ht="15" customHeight="1">
      <c r="A247" t="inlineStr">
        <is>
          <t>A 19893-2022</t>
        </is>
      </c>
      <c r="B247" s="1" t="n">
        <v>44697</v>
      </c>
      <c r="C247" s="1" t="n">
        <v>46051</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4915-2022</t>
        </is>
      </c>
      <c r="B248" s="1" t="n">
        <v>44593</v>
      </c>
      <c r="C248" s="1" t="n">
        <v>46051</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72996-2021</t>
        </is>
      </c>
      <c r="B249" s="1" t="n">
        <v>44549.8596875</v>
      </c>
      <c r="C249" s="1" t="n">
        <v>46051</v>
      </c>
      <c r="D249" t="inlineStr">
        <is>
          <t>VÄRMLANDS LÄN</t>
        </is>
      </c>
      <c r="E249" t="inlineStr">
        <is>
          <t>ÅRJÄNG</t>
        </is>
      </c>
      <c r="G249" t="n">
        <v>1.2</v>
      </c>
      <c r="H249" t="n">
        <v>0</v>
      </c>
      <c r="I249" t="n">
        <v>0</v>
      </c>
      <c r="J249" t="n">
        <v>0</v>
      </c>
      <c r="K249" t="n">
        <v>0</v>
      </c>
      <c r="L249" t="n">
        <v>0</v>
      </c>
      <c r="M249" t="n">
        <v>0</v>
      </c>
      <c r="N249" t="n">
        <v>0</v>
      </c>
      <c r="O249" t="n">
        <v>0</v>
      </c>
      <c r="P249" t="n">
        <v>0</v>
      </c>
      <c r="Q249" t="n">
        <v>0</v>
      </c>
      <c r="R249" s="2" t="inlineStr"/>
    </row>
    <row r="250" ht="15" customHeight="1">
      <c r="A250" t="inlineStr">
        <is>
          <t>A 37949-2022</t>
        </is>
      </c>
      <c r="B250" s="1" t="n">
        <v>44811.48773148148</v>
      </c>
      <c r="C250" s="1" t="n">
        <v>46051</v>
      </c>
      <c r="D250" t="inlineStr">
        <is>
          <t>VÄRMLANDS LÄN</t>
        </is>
      </c>
      <c r="E250" t="inlineStr">
        <is>
          <t>ÅRJÄNG</t>
        </is>
      </c>
      <c r="G250" t="n">
        <v>0.5</v>
      </c>
      <c r="H250" t="n">
        <v>0</v>
      </c>
      <c r="I250" t="n">
        <v>0</v>
      </c>
      <c r="J250" t="n">
        <v>0</v>
      </c>
      <c r="K250" t="n">
        <v>0</v>
      </c>
      <c r="L250" t="n">
        <v>0</v>
      </c>
      <c r="M250" t="n">
        <v>0</v>
      </c>
      <c r="N250" t="n">
        <v>0</v>
      </c>
      <c r="O250" t="n">
        <v>0</v>
      </c>
      <c r="P250" t="n">
        <v>0</v>
      </c>
      <c r="Q250" t="n">
        <v>0</v>
      </c>
      <c r="R250" s="2" t="inlineStr"/>
    </row>
    <row r="251" ht="15" customHeight="1">
      <c r="A251" t="inlineStr">
        <is>
          <t>A 69024-2021</t>
        </is>
      </c>
      <c r="B251" s="1" t="n">
        <v>44530.61547453704</v>
      </c>
      <c r="C251" s="1" t="n">
        <v>46051</v>
      </c>
      <c r="D251" t="inlineStr">
        <is>
          <t>VÄRMLANDS LÄN</t>
        </is>
      </c>
      <c r="E251" t="inlineStr">
        <is>
          <t>ÅRJÄNG</t>
        </is>
      </c>
      <c r="G251" t="n">
        <v>0.3</v>
      </c>
      <c r="H251" t="n">
        <v>0</v>
      </c>
      <c r="I251" t="n">
        <v>0</v>
      </c>
      <c r="J251" t="n">
        <v>0</v>
      </c>
      <c r="K251" t="n">
        <v>0</v>
      </c>
      <c r="L251" t="n">
        <v>0</v>
      </c>
      <c r="M251" t="n">
        <v>0</v>
      </c>
      <c r="N251" t="n">
        <v>0</v>
      </c>
      <c r="O251" t="n">
        <v>0</v>
      </c>
      <c r="P251" t="n">
        <v>0</v>
      </c>
      <c r="Q251" t="n">
        <v>0</v>
      </c>
      <c r="R251" s="2" t="inlineStr"/>
    </row>
    <row r="252" ht="15" customHeight="1">
      <c r="A252" t="inlineStr">
        <is>
          <t>A 40643-2022</t>
        </is>
      </c>
      <c r="B252" s="1" t="n">
        <v>44824.32023148148</v>
      </c>
      <c r="C252" s="1" t="n">
        <v>46051</v>
      </c>
      <c r="D252" t="inlineStr">
        <is>
          <t>VÄRMLANDS LÄN</t>
        </is>
      </c>
      <c r="E252" t="inlineStr">
        <is>
          <t>ÅRJÄNG</t>
        </is>
      </c>
      <c r="G252" t="n">
        <v>0.4</v>
      </c>
      <c r="H252" t="n">
        <v>0</v>
      </c>
      <c r="I252" t="n">
        <v>0</v>
      </c>
      <c r="J252" t="n">
        <v>0</v>
      </c>
      <c r="K252" t="n">
        <v>0</v>
      </c>
      <c r="L252" t="n">
        <v>0</v>
      </c>
      <c r="M252" t="n">
        <v>0</v>
      </c>
      <c r="N252" t="n">
        <v>0</v>
      </c>
      <c r="O252" t="n">
        <v>0</v>
      </c>
      <c r="P252" t="n">
        <v>0</v>
      </c>
      <c r="Q252" t="n">
        <v>0</v>
      </c>
      <c r="R252" s="2" t="inlineStr"/>
    </row>
    <row r="253" ht="15" customHeight="1">
      <c r="A253" t="inlineStr">
        <is>
          <t>A 10518-2022</t>
        </is>
      </c>
      <c r="B253" s="1" t="n">
        <v>44623.77545138889</v>
      </c>
      <c r="C253" s="1" t="n">
        <v>46051</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28437-2021</t>
        </is>
      </c>
      <c r="B254" s="1" t="n">
        <v>44356.53327546296</v>
      </c>
      <c r="C254" s="1" t="n">
        <v>46051</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15249-2021</t>
        </is>
      </c>
      <c r="B255" s="1" t="n">
        <v>44282</v>
      </c>
      <c r="C255" s="1" t="n">
        <v>46051</v>
      </c>
      <c r="D255" t="inlineStr">
        <is>
          <t>VÄRMLANDS LÄN</t>
        </is>
      </c>
      <c r="E255" t="inlineStr">
        <is>
          <t>ÅRJÄNG</t>
        </is>
      </c>
      <c r="F255" t="inlineStr">
        <is>
          <t>Övriga Aktiebolag</t>
        </is>
      </c>
      <c r="G255" t="n">
        <v>1.3</v>
      </c>
      <c r="H255" t="n">
        <v>0</v>
      </c>
      <c r="I255" t="n">
        <v>0</v>
      </c>
      <c r="J255" t="n">
        <v>0</v>
      </c>
      <c r="K255" t="n">
        <v>0</v>
      </c>
      <c r="L255" t="n">
        <v>0</v>
      </c>
      <c r="M255" t="n">
        <v>0</v>
      </c>
      <c r="N255" t="n">
        <v>0</v>
      </c>
      <c r="O255" t="n">
        <v>0</v>
      </c>
      <c r="P255" t="n">
        <v>0</v>
      </c>
      <c r="Q255" t="n">
        <v>0</v>
      </c>
      <c r="R255" s="2" t="inlineStr"/>
    </row>
    <row r="256" ht="15" customHeight="1">
      <c r="A256" t="inlineStr">
        <is>
          <t>A 12137-2021</t>
        </is>
      </c>
      <c r="B256" s="1" t="n">
        <v>44266</v>
      </c>
      <c r="C256" s="1" t="n">
        <v>46051</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14094-2021</t>
        </is>
      </c>
      <c r="B257" s="1" t="n">
        <v>44278.29547453704</v>
      </c>
      <c r="C257" s="1" t="n">
        <v>46051</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47035-2021</t>
        </is>
      </c>
      <c r="B258" s="1" t="n">
        <v>44446</v>
      </c>
      <c r="C258" s="1" t="n">
        <v>46051</v>
      </c>
      <c r="D258" t="inlineStr">
        <is>
          <t>VÄRMLANDS LÄN</t>
        </is>
      </c>
      <c r="E258" t="inlineStr">
        <is>
          <t>ÅRJÄNG</t>
        </is>
      </c>
      <c r="G258" t="n">
        <v>2.6</v>
      </c>
      <c r="H258" t="n">
        <v>0</v>
      </c>
      <c r="I258" t="n">
        <v>0</v>
      </c>
      <c r="J258" t="n">
        <v>0</v>
      </c>
      <c r="K258" t="n">
        <v>0</v>
      </c>
      <c r="L258" t="n">
        <v>0</v>
      </c>
      <c r="M258" t="n">
        <v>0</v>
      </c>
      <c r="N258" t="n">
        <v>0</v>
      </c>
      <c r="O258" t="n">
        <v>0</v>
      </c>
      <c r="P258" t="n">
        <v>0</v>
      </c>
      <c r="Q258" t="n">
        <v>0</v>
      </c>
      <c r="R258" s="2" t="inlineStr"/>
    </row>
    <row r="259" ht="15" customHeight="1">
      <c r="A259" t="inlineStr">
        <is>
          <t>A 8438-2022</t>
        </is>
      </c>
      <c r="B259" s="1" t="n">
        <v>44612</v>
      </c>
      <c r="C259" s="1" t="n">
        <v>46051</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53739-2021</t>
        </is>
      </c>
      <c r="B260" s="1" t="n">
        <v>44469</v>
      </c>
      <c r="C260" s="1" t="n">
        <v>46051</v>
      </c>
      <c r="D260" t="inlineStr">
        <is>
          <t>VÄRMLANDS LÄN</t>
        </is>
      </c>
      <c r="E260" t="inlineStr">
        <is>
          <t>ÅRJÄNG</t>
        </is>
      </c>
      <c r="G260" t="n">
        <v>15.9</v>
      </c>
      <c r="H260" t="n">
        <v>0</v>
      </c>
      <c r="I260" t="n">
        <v>0</v>
      </c>
      <c r="J260" t="n">
        <v>0</v>
      </c>
      <c r="K260" t="n">
        <v>0</v>
      </c>
      <c r="L260" t="n">
        <v>0</v>
      </c>
      <c r="M260" t="n">
        <v>0</v>
      </c>
      <c r="N260" t="n">
        <v>0</v>
      </c>
      <c r="O260" t="n">
        <v>0</v>
      </c>
      <c r="P260" t="n">
        <v>0</v>
      </c>
      <c r="Q260" t="n">
        <v>0</v>
      </c>
      <c r="R260" s="2" t="inlineStr"/>
    </row>
    <row r="261" ht="15" customHeight="1">
      <c r="A261" t="inlineStr">
        <is>
          <t>A 10899-2022</t>
        </is>
      </c>
      <c r="B261" s="1" t="n">
        <v>44627</v>
      </c>
      <c r="C261" s="1" t="n">
        <v>46051</v>
      </c>
      <c r="D261" t="inlineStr">
        <is>
          <t>VÄRMLANDS LÄN</t>
        </is>
      </c>
      <c r="E261" t="inlineStr">
        <is>
          <t>ÅRJÄNG</t>
        </is>
      </c>
      <c r="G261" t="n">
        <v>2.9</v>
      </c>
      <c r="H261" t="n">
        <v>0</v>
      </c>
      <c r="I261" t="n">
        <v>0</v>
      </c>
      <c r="J261" t="n">
        <v>0</v>
      </c>
      <c r="K261" t="n">
        <v>0</v>
      </c>
      <c r="L261" t="n">
        <v>0</v>
      </c>
      <c r="M261" t="n">
        <v>0</v>
      </c>
      <c r="N261" t="n">
        <v>0</v>
      </c>
      <c r="O261" t="n">
        <v>0</v>
      </c>
      <c r="P261" t="n">
        <v>0</v>
      </c>
      <c r="Q261" t="n">
        <v>0</v>
      </c>
      <c r="R261" s="2" t="inlineStr"/>
    </row>
    <row r="262" ht="15" customHeight="1">
      <c r="A262" t="inlineStr">
        <is>
          <t>A 21701-2021</t>
        </is>
      </c>
      <c r="B262" s="1" t="n">
        <v>44322</v>
      </c>
      <c r="C262" s="1" t="n">
        <v>46051</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50044-2022</t>
        </is>
      </c>
      <c r="B263" s="1" t="n">
        <v>44865</v>
      </c>
      <c r="C263" s="1" t="n">
        <v>46051</v>
      </c>
      <c r="D263" t="inlineStr">
        <is>
          <t>VÄRMLANDS LÄN</t>
        </is>
      </c>
      <c r="E263" t="inlineStr">
        <is>
          <t>ÅRJÄNG</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33025-2021</t>
        </is>
      </c>
      <c r="B264" s="1" t="n">
        <v>44376</v>
      </c>
      <c r="C264" s="1" t="n">
        <v>46051</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28925-2022</t>
        </is>
      </c>
      <c r="B265" s="1" t="n">
        <v>44749.57684027778</v>
      </c>
      <c r="C265" s="1" t="n">
        <v>46051</v>
      </c>
      <c r="D265" t="inlineStr">
        <is>
          <t>VÄRMLANDS LÄN</t>
        </is>
      </c>
      <c r="E265" t="inlineStr">
        <is>
          <t>ÅRJÄNG</t>
        </is>
      </c>
      <c r="G265" t="n">
        <v>0.6</v>
      </c>
      <c r="H265" t="n">
        <v>0</v>
      </c>
      <c r="I265" t="n">
        <v>0</v>
      </c>
      <c r="J265" t="n">
        <v>0</v>
      </c>
      <c r="K265" t="n">
        <v>0</v>
      </c>
      <c r="L265" t="n">
        <v>0</v>
      </c>
      <c r="M265" t="n">
        <v>0</v>
      </c>
      <c r="N265" t="n">
        <v>0</v>
      </c>
      <c r="O265" t="n">
        <v>0</v>
      </c>
      <c r="P265" t="n">
        <v>0</v>
      </c>
      <c r="Q265" t="n">
        <v>0</v>
      </c>
      <c r="R265" s="2" t="inlineStr"/>
    </row>
    <row r="266" ht="15" customHeight="1">
      <c r="A266" t="inlineStr">
        <is>
          <t>A 56778-2024</t>
        </is>
      </c>
      <c r="B266" s="1" t="n">
        <v>45628</v>
      </c>
      <c r="C266" s="1" t="n">
        <v>46051</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8831-2025</t>
        </is>
      </c>
      <c r="B267" s="1" t="n">
        <v>45712.90697916667</v>
      </c>
      <c r="C267" s="1" t="n">
        <v>46051</v>
      </c>
      <c r="D267" t="inlineStr">
        <is>
          <t>VÄRMLANDS LÄN</t>
        </is>
      </c>
      <c r="E267" t="inlineStr">
        <is>
          <t>ÅRJÄNG</t>
        </is>
      </c>
      <c r="G267" t="n">
        <v>32.9</v>
      </c>
      <c r="H267" t="n">
        <v>0</v>
      </c>
      <c r="I267" t="n">
        <v>0</v>
      </c>
      <c r="J267" t="n">
        <v>0</v>
      </c>
      <c r="K267" t="n">
        <v>0</v>
      </c>
      <c r="L267" t="n">
        <v>0</v>
      </c>
      <c r="M267" t="n">
        <v>0</v>
      </c>
      <c r="N267" t="n">
        <v>0</v>
      </c>
      <c r="O267" t="n">
        <v>0</v>
      </c>
      <c r="P267" t="n">
        <v>0</v>
      </c>
      <c r="Q267" t="n">
        <v>0</v>
      </c>
      <c r="R267" s="2" t="inlineStr"/>
    </row>
    <row r="268" ht="15" customHeight="1">
      <c r="A268" t="inlineStr">
        <is>
          <t>A 8834-2025</t>
        </is>
      </c>
      <c r="B268" s="1" t="n">
        <v>45712.921875</v>
      </c>
      <c r="C268" s="1" t="n">
        <v>46051</v>
      </c>
      <c r="D268" t="inlineStr">
        <is>
          <t>VÄRMLANDS LÄN</t>
        </is>
      </c>
      <c r="E268" t="inlineStr">
        <is>
          <t>ÅRJÄNG</t>
        </is>
      </c>
      <c r="G268" t="n">
        <v>2.2</v>
      </c>
      <c r="H268" t="n">
        <v>0</v>
      </c>
      <c r="I268" t="n">
        <v>0</v>
      </c>
      <c r="J268" t="n">
        <v>0</v>
      </c>
      <c r="K268" t="n">
        <v>0</v>
      </c>
      <c r="L268" t="n">
        <v>0</v>
      </c>
      <c r="M268" t="n">
        <v>0</v>
      </c>
      <c r="N268" t="n">
        <v>0</v>
      </c>
      <c r="O268" t="n">
        <v>0</v>
      </c>
      <c r="P268" t="n">
        <v>0</v>
      </c>
      <c r="Q268" t="n">
        <v>0</v>
      </c>
      <c r="R268" s="2" t="inlineStr"/>
    </row>
    <row r="269" ht="15" customHeight="1">
      <c r="A269" t="inlineStr">
        <is>
          <t>A 13001-2025</t>
        </is>
      </c>
      <c r="B269" s="1" t="n">
        <v>45734.49777777777</v>
      </c>
      <c r="C269" s="1" t="n">
        <v>46051</v>
      </c>
      <c r="D269" t="inlineStr">
        <is>
          <t>VÄRMLANDS LÄN</t>
        </is>
      </c>
      <c r="E269" t="inlineStr">
        <is>
          <t>ÅRJÄNG</t>
        </is>
      </c>
      <c r="G269" t="n">
        <v>15.8</v>
      </c>
      <c r="H269" t="n">
        <v>0</v>
      </c>
      <c r="I269" t="n">
        <v>0</v>
      </c>
      <c r="J269" t="n">
        <v>0</v>
      </c>
      <c r="K269" t="n">
        <v>0</v>
      </c>
      <c r="L269" t="n">
        <v>0</v>
      </c>
      <c r="M269" t="n">
        <v>0</v>
      </c>
      <c r="N269" t="n">
        <v>0</v>
      </c>
      <c r="O269" t="n">
        <v>0</v>
      </c>
      <c r="P269" t="n">
        <v>0</v>
      </c>
      <c r="Q269" t="n">
        <v>0</v>
      </c>
      <c r="R269" s="2" t="inlineStr"/>
    </row>
    <row r="270" ht="15" customHeight="1">
      <c r="A270" t="inlineStr">
        <is>
          <t>A 13002-2025</t>
        </is>
      </c>
      <c r="B270" s="1" t="n">
        <v>45734.50288194444</v>
      </c>
      <c r="C270" s="1" t="n">
        <v>46051</v>
      </c>
      <c r="D270" t="inlineStr">
        <is>
          <t>VÄRMLANDS LÄN</t>
        </is>
      </c>
      <c r="E270" t="inlineStr">
        <is>
          <t>ÅRJÄNG</t>
        </is>
      </c>
      <c r="G270" t="n">
        <v>2.4</v>
      </c>
      <c r="H270" t="n">
        <v>0</v>
      </c>
      <c r="I270" t="n">
        <v>0</v>
      </c>
      <c r="J270" t="n">
        <v>0</v>
      </c>
      <c r="K270" t="n">
        <v>0</v>
      </c>
      <c r="L270" t="n">
        <v>0</v>
      </c>
      <c r="M270" t="n">
        <v>0</v>
      </c>
      <c r="N270" t="n">
        <v>0</v>
      </c>
      <c r="O270" t="n">
        <v>0</v>
      </c>
      <c r="P270" t="n">
        <v>0</v>
      </c>
      <c r="Q270" t="n">
        <v>0</v>
      </c>
      <c r="R270" s="2" t="inlineStr"/>
    </row>
    <row r="271" ht="15" customHeight="1">
      <c r="A271" t="inlineStr">
        <is>
          <t>A 19964-2023</t>
        </is>
      </c>
      <c r="B271" s="1" t="n">
        <v>45051</v>
      </c>
      <c r="C271" s="1" t="n">
        <v>46051</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4668-2025</t>
        </is>
      </c>
      <c r="B272" s="1" t="n">
        <v>45687.76229166667</v>
      </c>
      <c r="C272" s="1" t="n">
        <v>46051</v>
      </c>
      <c r="D272" t="inlineStr">
        <is>
          <t>VÄRMLANDS LÄN</t>
        </is>
      </c>
      <c r="E272" t="inlineStr">
        <is>
          <t>ÅRJÄNG</t>
        </is>
      </c>
      <c r="G272" t="n">
        <v>8.5</v>
      </c>
      <c r="H272" t="n">
        <v>0</v>
      </c>
      <c r="I272" t="n">
        <v>0</v>
      </c>
      <c r="J272" t="n">
        <v>0</v>
      </c>
      <c r="K272" t="n">
        <v>0</v>
      </c>
      <c r="L272" t="n">
        <v>0</v>
      </c>
      <c r="M272" t="n">
        <v>0</v>
      </c>
      <c r="N272" t="n">
        <v>0</v>
      </c>
      <c r="O272" t="n">
        <v>0</v>
      </c>
      <c r="P272" t="n">
        <v>0</v>
      </c>
      <c r="Q272" t="n">
        <v>0</v>
      </c>
      <c r="R272" s="2" t="inlineStr"/>
    </row>
    <row r="273" ht="15" customHeight="1">
      <c r="A273" t="inlineStr">
        <is>
          <t>A 54961-2024</t>
        </is>
      </c>
      <c r="B273" s="1" t="n">
        <v>45619.9753125</v>
      </c>
      <c r="C273" s="1" t="n">
        <v>46051</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16079-2024</t>
        </is>
      </c>
      <c r="B274" s="1" t="n">
        <v>45406</v>
      </c>
      <c r="C274" s="1" t="n">
        <v>46051</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5122-2025</t>
        </is>
      </c>
      <c r="B275" s="1" t="n">
        <v>45691.55863425926</v>
      </c>
      <c r="C275" s="1" t="n">
        <v>46051</v>
      </c>
      <c r="D275" t="inlineStr">
        <is>
          <t>VÄRMLANDS LÄN</t>
        </is>
      </c>
      <c r="E275" t="inlineStr">
        <is>
          <t>ÅRJÄNG</t>
        </is>
      </c>
      <c r="G275" t="n">
        <v>5.7</v>
      </c>
      <c r="H275" t="n">
        <v>0</v>
      </c>
      <c r="I275" t="n">
        <v>0</v>
      </c>
      <c r="J275" t="n">
        <v>0</v>
      </c>
      <c r="K275" t="n">
        <v>0</v>
      </c>
      <c r="L275" t="n">
        <v>0</v>
      </c>
      <c r="M275" t="n">
        <v>0</v>
      </c>
      <c r="N275" t="n">
        <v>0</v>
      </c>
      <c r="O275" t="n">
        <v>0</v>
      </c>
      <c r="P275" t="n">
        <v>0</v>
      </c>
      <c r="Q275" t="n">
        <v>0</v>
      </c>
      <c r="R275" s="2" t="inlineStr"/>
    </row>
    <row r="276" ht="15" customHeight="1">
      <c r="A276" t="inlineStr">
        <is>
          <t>A 12072-2024</t>
        </is>
      </c>
      <c r="B276" s="1" t="n">
        <v>45377</v>
      </c>
      <c r="C276" s="1" t="n">
        <v>46051</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47228-2023</t>
        </is>
      </c>
      <c r="B277" s="1" t="n">
        <v>45202.3709837963</v>
      </c>
      <c r="C277" s="1" t="n">
        <v>46051</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47688-2023</t>
        </is>
      </c>
      <c r="B278" s="1" t="n">
        <v>45203</v>
      </c>
      <c r="C278" s="1" t="n">
        <v>46051</v>
      </c>
      <c r="D278" t="inlineStr">
        <is>
          <t>VÄRMLANDS LÄN</t>
        </is>
      </c>
      <c r="E278" t="inlineStr">
        <is>
          <t>ÅRJÄNG</t>
        </is>
      </c>
      <c r="F278" t="inlineStr">
        <is>
          <t>Övriga Aktiebolag</t>
        </is>
      </c>
      <c r="G278" t="n">
        <v>20.3</v>
      </c>
      <c r="H278" t="n">
        <v>0</v>
      </c>
      <c r="I278" t="n">
        <v>0</v>
      </c>
      <c r="J278" t="n">
        <v>0</v>
      </c>
      <c r="K278" t="n">
        <v>0</v>
      </c>
      <c r="L278" t="n">
        <v>0</v>
      </c>
      <c r="M278" t="n">
        <v>0</v>
      </c>
      <c r="N278" t="n">
        <v>0</v>
      </c>
      <c r="O278" t="n">
        <v>0</v>
      </c>
      <c r="P278" t="n">
        <v>0</v>
      </c>
      <c r="Q278" t="n">
        <v>0</v>
      </c>
      <c r="R278" s="2" t="inlineStr"/>
    </row>
    <row r="279" ht="15" customHeight="1">
      <c r="A279" t="inlineStr">
        <is>
          <t>A 16791-2025</t>
        </is>
      </c>
      <c r="B279" s="1" t="n">
        <v>45754</v>
      </c>
      <c r="C279" s="1" t="n">
        <v>46051</v>
      </c>
      <c r="D279" t="inlineStr">
        <is>
          <t>VÄRMLANDS LÄN</t>
        </is>
      </c>
      <c r="E279" t="inlineStr">
        <is>
          <t>ÅRJÄNG</t>
        </is>
      </c>
      <c r="G279" t="n">
        <v>1.5</v>
      </c>
      <c r="H279" t="n">
        <v>0</v>
      </c>
      <c r="I279" t="n">
        <v>0</v>
      </c>
      <c r="J279" t="n">
        <v>0</v>
      </c>
      <c r="K279" t="n">
        <v>0</v>
      </c>
      <c r="L279" t="n">
        <v>0</v>
      </c>
      <c r="M279" t="n">
        <v>0</v>
      </c>
      <c r="N279" t="n">
        <v>0</v>
      </c>
      <c r="O279" t="n">
        <v>0</v>
      </c>
      <c r="P279" t="n">
        <v>0</v>
      </c>
      <c r="Q279" t="n">
        <v>0</v>
      </c>
      <c r="R279" s="2" t="inlineStr"/>
    </row>
    <row r="280" ht="15" customHeight="1">
      <c r="A280" t="inlineStr">
        <is>
          <t>A 11805-2024</t>
        </is>
      </c>
      <c r="B280" s="1" t="n">
        <v>45375.76523148148</v>
      </c>
      <c r="C280" s="1" t="n">
        <v>46051</v>
      </c>
      <c r="D280" t="inlineStr">
        <is>
          <t>VÄRMLANDS LÄN</t>
        </is>
      </c>
      <c r="E280" t="inlineStr">
        <is>
          <t>ÅRJÄNG</t>
        </is>
      </c>
      <c r="G280" t="n">
        <v>4.4</v>
      </c>
      <c r="H280" t="n">
        <v>0</v>
      </c>
      <c r="I280" t="n">
        <v>0</v>
      </c>
      <c r="J280" t="n">
        <v>0</v>
      </c>
      <c r="K280" t="n">
        <v>0</v>
      </c>
      <c r="L280" t="n">
        <v>0</v>
      </c>
      <c r="M280" t="n">
        <v>0</v>
      </c>
      <c r="N280" t="n">
        <v>0</v>
      </c>
      <c r="O280" t="n">
        <v>0</v>
      </c>
      <c r="P280" t="n">
        <v>0</v>
      </c>
      <c r="Q280" t="n">
        <v>0</v>
      </c>
      <c r="R280" s="2" t="inlineStr"/>
    </row>
    <row r="281" ht="15" customHeight="1">
      <c r="A281" t="inlineStr">
        <is>
          <t>A 15828-2024</t>
        </is>
      </c>
      <c r="B281" s="1" t="n">
        <v>45404</v>
      </c>
      <c r="C281" s="1" t="n">
        <v>46051</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7444-2024</t>
        </is>
      </c>
      <c r="B282" s="1" t="n">
        <v>45345.72637731482</v>
      </c>
      <c r="C282" s="1" t="n">
        <v>46051</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30459-2022</t>
        </is>
      </c>
      <c r="B283" s="1" t="n">
        <v>44761</v>
      </c>
      <c r="C283" s="1" t="n">
        <v>46051</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40490-2022</t>
        </is>
      </c>
      <c r="B284" s="1" t="n">
        <v>44823.58560185185</v>
      </c>
      <c r="C284" s="1" t="n">
        <v>46051</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19511-2024</t>
        </is>
      </c>
      <c r="B285" s="1" t="n">
        <v>45429.6099537037</v>
      </c>
      <c r="C285" s="1" t="n">
        <v>46051</v>
      </c>
      <c r="D285" t="inlineStr">
        <is>
          <t>VÄRMLANDS LÄN</t>
        </is>
      </c>
      <c r="E285" t="inlineStr">
        <is>
          <t>ÅRJÄNG</t>
        </is>
      </c>
      <c r="G285" t="n">
        <v>1.2</v>
      </c>
      <c r="H285" t="n">
        <v>0</v>
      </c>
      <c r="I285" t="n">
        <v>0</v>
      </c>
      <c r="J285" t="n">
        <v>0</v>
      </c>
      <c r="K285" t="n">
        <v>0</v>
      </c>
      <c r="L285" t="n">
        <v>0</v>
      </c>
      <c r="M285" t="n">
        <v>0</v>
      </c>
      <c r="N285" t="n">
        <v>0</v>
      </c>
      <c r="O285" t="n">
        <v>0</v>
      </c>
      <c r="P285" t="n">
        <v>0</v>
      </c>
      <c r="Q285" t="n">
        <v>0</v>
      </c>
      <c r="R285" s="2" t="inlineStr"/>
    </row>
    <row r="286" ht="15" customHeight="1">
      <c r="A286" t="inlineStr">
        <is>
          <t>A 19516-2024</t>
        </is>
      </c>
      <c r="B286" s="1" t="n">
        <v>45429.61491898148</v>
      </c>
      <c r="C286" s="1" t="n">
        <v>46051</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6034-2021</t>
        </is>
      </c>
      <c r="B287" s="1" t="n">
        <v>44232.33623842592</v>
      </c>
      <c r="C287" s="1" t="n">
        <v>46051</v>
      </c>
      <c r="D287" t="inlineStr">
        <is>
          <t>VÄRMLANDS LÄN</t>
        </is>
      </c>
      <c r="E287" t="inlineStr">
        <is>
          <t>ÅRJÄNG</t>
        </is>
      </c>
      <c r="G287" t="n">
        <v>0.5</v>
      </c>
      <c r="H287" t="n">
        <v>0</v>
      </c>
      <c r="I287" t="n">
        <v>0</v>
      </c>
      <c r="J287" t="n">
        <v>0</v>
      </c>
      <c r="K287" t="n">
        <v>0</v>
      </c>
      <c r="L287" t="n">
        <v>0</v>
      </c>
      <c r="M287" t="n">
        <v>0</v>
      </c>
      <c r="N287" t="n">
        <v>0</v>
      </c>
      <c r="O287" t="n">
        <v>0</v>
      </c>
      <c r="P287" t="n">
        <v>0</v>
      </c>
      <c r="Q287" t="n">
        <v>0</v>
      </c>
      <c r="R287" s="2" t="inlineStr"/>
    </row>
    <row r="288" ht="15" customHeight="1">
      <c r="A288" t="inlineStr">
        <is>
          <t>A 59385-2023</t>
        </is>
      </c>
      <c r="B288" s="1" t="n">
        <v>45253</v>
      </c>
      <c r="C288" s="1" t="n">
        <v>46051</v>
      </c>
      <c r="D288" t="inlineStr">
        <is>
          <t>VÄRMLANDS LÄN</t>
        </is>
      </c>
      <c r="E288" t="inlineStr">
        <is>
          <t>ÅRJÄNG</t>
        </is>
      </c>
      <c r="G288" t="n">
        <v>2.2</v>
      </c>
      <c r="H288" t="n">
        <v>0</v>
      </c>
      <c r="I288" t="n">
        <v>0</v>
      </c>
      <c r="J288" t="n">
        <v>0</v>
      </c>
      <c r="K288" t="n">
        <v>0</v>
      </c>
      <c r="L288" t="n">
        <v>0</v>
      </c>
      <c r="M288" t="n">
        <v>0</v>
      </c>
      <c r="N288" t="n">
        <v>0</v>
      </c>
      <c r="O288" t="n">
        <v>0</v>
      </c>
      <c r="P288" t="n">
        <v>0</v>
      </c>
      <c r="Q288" t="n">
        <v>0</v>
      </c>
      <c r="R288" s="2" t="inlineStr"/>
    </row>
    <row r="289" ht="15" customHeight="1">
      <c r="A289" t="inlineStr">
        <is>
          <t>A 13036-2025</t>
        </is>
      </c>
      <c r="B289" s="1" t="n">
        <v>45734.57474537037</v>
      </c>
      <c r="C289" s="1" t="n">
        <v>46051</v>
      </c>
      <c r="D289" t="inlineStr">
        <is>
          <t>VÄRMLANDS LÄN</t>
        </is>
      </c>
      <c r="E289" t="inlineStr">
        <is>
          <t>ÅRJÄNG</t>
        </is>
      </c>
      <c r="G289" t="n">
        <v>5.6</v>
      </c>
      <c r="H289" t="n">
        <v>0</v>
      </c>
      <c r="I289" t="n">
        <v>0</v>
      </c>
      <c r="J289" t="n">
        <v>0</v>
      </c>
      <c r="K289" t="n">
        <v>0</v>
      </c>
      <c r="L289" t="n">
        <v>0</v>
      </c>
      <c r="M289" t="n">
        <v>0</v>
      </c>
      <c r="N289" t="n">
        <v>0</v>
      </c>
      <c r="O289" t="n">
        <v>0</v>
      </c>
      <c r="P289" t="n">
        <v>0</v>
      </c>
      <c r="Q289" t="n">
        <v>0</v>
      </c>
      <c r="R289" s="2" t="inlineStr"/>
    </row>
    <row r="290" ht="15" customHeight="1">
      <c r="A290" t="inlineStr">
        <is>
          <t>A 13734-2024</t>
        </is>
      </c>
      <c r="B290" s="1" t="n">
        <v>45387</v>
      </c>
      <c r="C290" s="1" t="n">
        <v>46051</v>
      </c>
      <c r="D290" t="inlineStr">
        <is>
          <t>VÄRMLANDS LÄN</t>
        </is>
      </c>
      <c r="E290" t="inlineStr">
        <is>
          <t>ÅRJÄNG</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9909-2024</t>
        </is>
      </c>
      <c r="B291" s="1" t="n">
        <v>45363.53642361111</v>
      </c>
      <c r="C291" s="1" t="n">
        <v>46051</v>
      </c>
      <c r="D291" t="inlineStr">
        <is>
          <t>VÄRMLANDS LÄN</t>
        </is>
      </c>
      <c r="E291" t="inlineStr">
        <is>
          <t>ÅRJÄNG</t>
        </is>
      </c>
      <c r="G291" t="n">
        <v>3</v>
      </c>
      <c r="H291" t="n">
        <v>0</v>
      </c>
      <c r="I291" t="n">
        <v>0</v>
      </c>
      <c r="J291" t="n">
        <v>0</v>
      </c>
      <c r="K291" t="n">
        <v>0</v>
      </c>
      <c r="L291" t="n">
        <v>0</v>
      </c>
      <c r="M291" t="n">
        <v>0</v>
      </c>
      <c r="N291" t="n">
        <v>0</v>
      </c>
      <c r="O291" t="n">
        <v>0</v>
      </c>
      <c r="P291" t="n">
        <v>0</v>
      </c>
      <c r="Q291" t="n">
        <v>0</v>
      </c>
      <c r="R291" s="2" t="inlineStr"/>
    </row>
    <row r="292" ht="15" customHeight="1">
      <c r="A292" t="inlineStr">
        <is>
          <t>A 13824-2024</t>
        </is>
      </c>
      <c r="B292" s="1" t="n">
        <v>45391.42951388889</v>
      </c>
      <c r="C292" s="1" t="n">
        <v>46051</v>
      </c>
      <c r="D292" t="inlineStr">
        <is>
          <t>VÄRMLANDS LÄN</t>
        </is>
      </c>
      <c r="E292" t="inlineStr">
        <is>
          <t>ÅRJÄNG</t>
        </is>
      </c>
      <c r="G292" t="n">
        <v>1.9</v>
      </c>
      <c r="H292" t="n">
        <v>0</v>
      </c>
      <c r="I292" t="n">
        <v>0</v>
      </c>
      <c r="J292" t="n">
        <v>0</v>
      </c>
      <c r="K292" t="n">
        <v>0</v>
      </c>
      <c r="L292" t="n">
        <v>0</v>
      </c>
      <c r="M292" t="n">
        <v>0</v>
      </c>
      <c r="N292" t="n">
        <v>0</v>
      </c>
      <c r="O292" t="n">
        <v>0</v>
      </c>
      <c r="P292" t="n">
        <v>0</v>
      </c>
      <c r="Q292" t="n">
        <v>0</v>
      </c>
      <c r="R292" s="2" t="inlineStr"/>
    </row>
    <row r="293" ht="15" customHeight="1">
      <c r="A293" t="inlineStr">
        <is>
          <t>A 51109-2022</t>
        </is>
      </c>
      <c r="B293" s="1" t="n">
        <v>44868.43569444444</v>
      </c>
      <c r="C293" s="1" t="n">
        <v>46051</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74430-2021</t>
        </is>
      </c>
      <c r="B294" s="1" t="n">
        <v>44560.43342592593</v>
      </c>
      <c r="C294" s="1" t="n">
        <v>46051</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15148-2025</t>
        </is>
      </c>
      <c r="B295" s="1" t="n">
        <v>45744.45298611111</v>
      </c>
      <c r="C295" s="1" t="n">
        <v>46051</v>
      </c>
      <c r="D295" t="inlineStr">
        <is>
          <t>VÄRMLANDS LÄN</t>
        </is>
      </c>
      <c r="E295" t="inlineStr">
        <is>
          <t>ÅRJÄNG</t>
        </is>
      </c>
      <c r="G295" t="n">
        <v>1.4</v>
      </c>
      <c r="H295" t="n">
        <v>0</v>
      </c>
      <c r="I295" t="n">
        <v>0</v>
      </c>
      <c r="J295" t="n">
        <v>0</v>
      </c>
      <c r="K295" t="n">
        <v>0</v>
      </c>
      <c r="L295" t="n">
        <v>0</v>
      </c>
      <c r="M295" t="n">
        <v>0</v>
      </c>
      <c r="N295" t="n">
        <v>0</v>
      </c>
      <c r="O295" t="n">
        <v>0</v>
      </c>
      <c r="P295" t="n">
        <v>0</v>
      </c>
      <c r="Q295" t="n">
        <v>0</v>
      </c>
      <c r="R295" s="2" t="inlineStr"/>
    </row>
    <row r="296" ht="15" customHeight="1">
      <c r="A296" t="inlineStr">
        <is>
          <t>A 41986-2022</t>
        </is>
      </c>
      <c r="B296" s="1" t="n">
        <v>44830.4380787037</v>
      </c>
      <c r="C296" s="1" t="n">
        <v>46051</v>
      </c>
      <c r="D296" t="inlineStr">
        <is>
          <t>VÄRMLANDS LÄN</t>
        </is>
      </c>
      <c r="E296" t="inlineStr">
        <is>
          <t>ÅRJÄNG</t>
        </is>
      </c>
      <c r="G296" t="n">
        <v>4.3</v>
      </c>
      <c r="H296" t="n">
        <v>0</v>
      </c>
      <c r="I296" t="n">
        <v>0</v>
      </c>
      <c r="J296" t="n">
        <v>0</v>
      </c>
      <c r="K296" t="n">
        <v>0</v>
      </c>
      <c r="L296" t="n">
        <v>0</v>
      </c>
      <c r="M296" t="n">
        <v>0</v>
      </c>
      <c r="N296" t="n">
        <v>0</v>
      </c>
      <c r="O296" t="n">
        <v>0</v>
      </c>
      <c r="P296" t="n">
        <v>0</v>
      </c>
      <c r="Q296" t="n">
        <v>0</v>
      </c>
      <c r="R296" s="2" t="inlineStr"/>
    </row>
    <row r="297" ht="15" customHeight="1">
      <c r="A297" t="inlineStr">
        <is>
          <t>A 26880-2023</t>
        </is>
      </c>
      <c r="B297" s="1" t="n">
        <v>45093.58373842593</v>
      </c>
      <c r="C297" s="1" t="n">
        <v>46051</v>
      </c>
      <c r="D297" t="inlineStr">
        <is>
          <t>VÄRMLANDS LÄN</t>
        </is>
      </c>
      <c r="E297" t="inlineStr">
        <is>
          <t>ÅRJÄNG</t>
        </is>
      </c>
      <c r="G297" t="n">
        <v>3.6</v>
      </c>
      <c r="H297" t="n">
        <v>0</v>
      </c>
      <c r="I297" t="n">
        <v>0</v>
      </c>
      <c r="J297" t="n">
        <v>0</v>
      </c>
      <c r="K297" t="n">
        <v>0</v>
      </c>
      <c r="L297" t="n">
        <v>0</v>
      </c>
      <c r="M297" t="n">
        <v>0</v>
      </c>
      <c r="N297" t="n">
        <v>0</v>
      </c>
      <c r="O297" t="n">
        <v>0</v>
      </c>
      <c r="P297" t="n">
        <v>0</v>
      </c>
      <c r="Q297" t="n">
        <v>0</v>
      </c>
      <c r="R297" s="2" t="inlineStr"/>
    </row>
    <row r="298" ht="15" customHeight="1">
      <c r="A298" t="inlineStr">
        <is>
          <t>A 14768-2024</t>
        </is>
      </c>
      <c r="B298" s="1" t="n">
        <v>45397</v>
      </c>
      <c r="C298" s="1" t="n">
        <v>46051</v>
      </c>
      <c r="D298" t="inlineStr">
        <is>
          <t>VÄRMLANDS LÄN</t>
        </is>
      </c>
      <c r="E298" t="inlineStr">
        <is>
          <t>ÅRJÄNG</t>
        </is>
      </c>
      <c r="G298" t="n">
        <v>1.9</v>
      </c>
      <c r="H298" t="n">
        <v>0</v>
      </c>
      <c r="I298" t="n">
        <v>0</v>
      </c>
      <c r="J298" t="n">
        <v>0</v>
      </c>
      <c r="K298" t="n">
        <v>0</v>
      </c>
      <c r="L298" t="n">
        <v>0</v>
      </c>
      <c r="M298" t="n">
        <v>0</v>
      </c>
      <c r="N298" t="n">
        <v>0</v>
      </c>
      <c r="O298" t="n">
        <v>0</v>
      </c>
      <c r="P298" t="n">
        <v>0</v>
      </c>
      <c r="Q298" t="n">
        <v>0</v>
      </c>
      <c r="R298" s="2" t="inlineStr"/>
    </row>
    <row r="299" ht="15" customHeight="1">
      <c r="A299" t="inlineStr">
        <is>
          <t>A 44647-2021</t>
        </is>
      </c>
      <c r="B299" s="1" t="n">
        <v>44437.83967592593</v>
      </c>
      <c r="C299" s="1" t="n">
        <v>46051</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13998-2024</t>
        </is>
      </c>
      <c r="B300" s="1" t="n">
        <v>45392</v>
      </c>
      <c r="C300" s="1" t="n">
        <v>46051</v>
      </c>
      <c r="D300" t="inlineStr">
        <is>
          <t>VÄRMLANDS LÄN</t>
        </is>
      </c>
      <c r="E300" t="inlineStr">
        <is>
          <t>ÅRJÄNG</t>
        </is>
      </c>
      <c r="G300" t="n">
        <v>1.8</v>
      </c>
      <c r="H300" t="n">
        <v>0</v>
      </c>
      <c r="I300" t="n">
        <v>0</v>
      </c>
      <c r="J300" t="n">
        <v>0</v>
      </c>
      <c r="K300" t="n">
        <v>0</v>
      </c>
      <c r="L300" t="n">
        <v>0</v>
      </c>
      <c r="M300" t="n">
        <v>0</v>
      </c>
      <c r="N300" t="n">
        <v>0</v>
      </c>
      <c r="O300" t="n">
        <v>0</v>
      </c>
      <c r="P300" t="n">
        <v>0</v>
      </c>
      <c r="Q300" t="n">
        <v>0</v>
      </c>
      <c r="R300" s="2" t="inlineStr"/>
    </row>
    <row r="301" ht="15" customHeight="1">
      <c r="A301" t="inlineStr">
        <is>
          <t>A 15953-2025</t>
        </is>
      </c>
      <c r="B301" s="1" t="n">
        <v>45749</v>
      </c>
      <c r="C301" s="1" t="n">
        <v>46051</v>
      </c>
      <c r="D301" t="inlineStr">
        <is>
          <t>VÄRMLANDS LÄN</t>
        </is>
      </c>
      <c r="E301" t="inlineStr">
        <is>
          <t>ÅRJÄNG</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540-2024</t>
        </is>
      </c>
      <c r="B302" s="1" t="n">
        <v>45299</v>
      </c>
      <c r="C302" s="1" t="n">
        <v>46051</v>
      </c>
      <c r="D302" t="inlineStr">
        <is>
          <t>VÄRMLANDS LÄN</t>
        </is>
      </c>
      <c r="E302" t="inlineStr">
        <is>
          <t>ÅRJÄNG</t>
        </is>
      </c>
      <c r="F302" t="inlineStr">
        <is>
          <t>Kyrkan</t>
        </is>
      </c>
      <c r="G302" t="n">
        <v>7</v>
      </c>
      <c r="H302" t="n">
        <v>0</v>
      </c>
      <c r="I302" t="n">
        <v>0</v>
      </c>
      <c r="J302" t="n">
        <v>0</v>
      </c>
      <c r="K302" t="n">
        <v>0</v>
      </c>
      <c r="L302" t="n">
        <v>0</v>
      </c>
      <c r="M302" t="n">
        <v>0</v>
      </c>
      <c r="N302" t="n">
        <v>0</v>
      </c>
      <c r="O302" t="n">
        <v>0</v>
      </c>
      <c r="P302" t="n">
        <v>0</v>
      </c>
      <c r="Q302" t="n">
        <v>0</v>
      </c>
      <c r="R302" s="2" t="inlineStr"/>
    </row>
    <row r="303" ht="15" customHeight="1">
      <c r="A303" t="inlineStr">
        <is>
          <t>A 19410-2024</t>
        </is>
      </c>
      <c r="B303" s="1" t="n">
        <v>45429</v>
      </c>
      <c r="C303" s="1" t="n">
        <v>46051</v>
      </c>
      <c r="D303" t="inlineStr">
        <is>
          <t>VÄRMLANDS LÄN</t>
        </is>
      </c>
      <c r="E303" t="inlineStr">
        <is>
          <t>ÅRJÄNG</t>
        </is>
      </c>
      <c r="G303" t="n">
        <v>7.9</v>
      </c>
      <c r="H303" t="n">
        <v>0</v>
      </c>
      <c r="I303" t="n">
        <v>0</v>
      </c>
      <c r="J303" t="n">
        <v>0</v>
      </c>
      <c r="K303" t="n">
        <v>0</v>
      </c>
      <c r="L303" t="n">
        <v>0</v>
      </c>
      <c r="M303" t="n">
        <v>0</v>
      </c>
      <c r="N303" t="n">
        <v>0</v>
      </c>
      <c r="O303" t="n">
        <v>0</v>
      </c>
      <c r="P303" t="n">
        <v>0</v>
      </c>
      <c r="Q303" t="n">
        <v>0</v>
      </c>
      <c r="R303" s="2" t="inlineStr"/>
    </row>
    <row r="304" ht="15" customHeight="1">
      <c r="A304" t="inlineStr">
        <is>
          <t>A 42241-2024</t>
        </is>
      </c>
      <c r="B304" s="1" t="n">
        <v>45562</v>
      </c>
      <c r="C304" s="1" t="n">
        <v>46051</v>
      </c>
      <c r="D304" t="inlineStr">
        <is>
          <t>VÄRMLANDS LÄN</t>
        </is>
      </c>
      <c r="E304" t="inlineStr">
        <is>
          <t>ÅRJÄNG</t>
        </is>
      </c>
      <c r="G304" t="n">
        <v>4</v>
      </c>
      <c r="H304" t="n">
        <v>0</v>
      </c>
      <c r="I304" t="n">
        <v>0</v>
      </c>
      <c r="J304" t="n">
        <v>0</v>
      </c>
      <c r="K304" t="n">
        <v>0</v>
      </c>
      <c r="L304" t="n">
        <v>0</v>
      </c>
      <c r="M304" t="n">
        <v>0</v>
      </c>
      <c r="N304" t="n">
        <v>0</v>
      </c>
      <c r="O304" t="n">
        <v>0</v>
      </c>
      <c r="P304" t="n">
        <v>0</v>
      </c>
      <c r="Q304" t="n">
        <v>0</v>
      </c>
      <c r="R304" s="2" t="inlineStr"/>
    </row>
    <row r="305" ht="15" customHeight="1">
      <c r="A305" t="inlineStr">
        <is>
          <t>A 21081-2023</t>
        </is>
      </c>
      <c r="B305" s="1" t="n">
        <v>45057</v>
      </c>
      <c r="C305" s="1" t="n">
        <v>46051</v>
      </c>
      <c r="D305" t="inlineStr">
        <is>
          <t>VÄRMLANDS LÄN</t>
        </is>
      </c>
      <c r="E305" t="inlineStr">
        <is>
          <t>ÅRJÄNG</t>
        </is>
      </c>
      <c r="G305" t="n">
        <v>5.1</v>
      </c>
      <c r="H305" t="n">
        <v>0</v>
      </c>
      <c r="I305" t="n">
        <v>0</v>
      </c>
      <c r="J305" t="n">
        <v>0</v>
      </c>
      <c r="K305" t="n">
        <v>0</v>
      </c>
      <c r="L305" t="n">
        <v>0</v>
      </c>
      <c r="M305" t="n">
        <v>0</v>
      </c>
      <c r="N305" t="n">
        <v>0</v>
      </c>
      <c r="O305" t="n">
        <v>0</v>
      </c>
      <c r="P305" t="n">
        <v>0</v>
      </c>
      <c r="Q305" t="n">
        <v>0</v>
      </c>
      <c r="R305" s="2" t="inlineStr"/>
    </row>
    <row r="306" ht="15" customHeight="1">
      <c r="A306" t="inlineStr">
        <is>
          <t>A 23048-2024</t>
        </is>
      </c>
      <c r="B306" s="1" t="n">
        <v>45450.42488425926</v>
      </c>
      <c r="C306" s="1" t="n">
        <v>46051</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23051-2024</t>
        </is>
      </c>
      <c r="B307" s="1" t="n">
        <v>45450.42902777778</v>
      </c>
      <c r="C307" s="1" t="n">
        <v>46051</v>
      </c>
      <c r="D307" t="inlineStr">
        <is>
          <t>VÄRMLANDS LÄN</t>
        </is>
      </c>
      <c r="E307" t="inlineStr">
        <is>
          <t>ÅRJÄNG</t>
        </is>
      </c>
      <c r="G307" t="n">
        <v>2.4</v>
      </c>
      <c r="H307" t="n">
        <v>0</v>
      </c>
      <c r="I307" t="n">
        <v>0</v>
      </c>
      <c r="J307" t="n">
        <v>0</v>
      </c>
      <c r="K307" t="n">
        <v>0</v>
      </c>
      <c r="L307" t="n">
        <v>0</v>
      </c>
      <c r="M307" t="n">
        <v>0</v>
      </c>
      <c r="N307" t="n">
        <v>0</v>
      </c>
      <c r="O307" t="n">
        <v>0</v>
      </c>
      <c r="P307" t="n">
        <v>0</v>
      </c>
      <c r="Q307" t="n">
        <v>0</v>
      </c>
      <c r="R307" s="2" t="inlineStr"/>
    </row>
    <row r="308" ht="15" customHeight="1">
      <c r="A308" t="inlineStr">
        <is>
          <t>A 26259-2024</t>
        </is>
      </c>
      <c r="B308" s="1" t="n">
        <v>45468</v>
      </c>
      <c r="C308" s="1" t="n">
        <v>46051</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12352-2021</t>
        </is>
      </c>
      <c r="B309" s="1" t="n">
        <v>44267.44386574074</v>
      </c>
      <c r="C309" s="1" t="n">
        <v>46051</v>
      </c>
      <c r="D309" t="inlineStr">
        <is>
          <t>VÄRMLANDS LÄN</t>
        </is>
      </c>
      <c r="E309" t="inlineStr">
        <is>
          <t>ÅRJÄNG</t>
        </is>
      </c>
      <c r="G309" t="n">
        <v>7.1</v>
      </c>
      <c r="H309" t="n">
        <v>0</v>
      </c>
      <c r="I309" t="n">
        <v>0</v>
      </c>
      <c r="J309" t="n">
        <v>0</v>
      </c>
      <c r="K309" t="n">
        <v>0</v>
      </c>
      <c r="L309" t="n">
        <v>0</v>
      </c>
      <c r="M309" t="n">
        <v>0</v>
      </c>
      <c r="N309" t="n">
        <v>0</v>
      </c>
      <c r="O309" t="n">
        <v>0</v>
      </c>
      <c r="P309" t="n">
        <v>0</v>
      </c>
      <c r="Q309" t="n">
        <v>0</v>
      </c>
      <c r="R309" s="2" t="inlineStr"/>
    </row>
    <row r="310" ht="15" customHeight="1">
      <c r="A310" t="inlineStr">
        <is>
          <t>A 62261-2023</t>
        </is>
      </c>
      <c r="B310" s="1" t="n">
        <v>45266</v>
      </c>
      <c r="C310" s="1" t="n">
        <v>46051</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23216-2023</t>
        </is>
      </c>
      <c r="B311" s="1" t="n">
        <v>45075</v>
      </c>
      <c r="C311" s="1" t="n">
        <v>46051</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49641-2021</t>
        </is>
      </c>
      <c r="B312" s="1" t="n">
        <v>44455.44327546296</v>
      </c>
      <c r="C312" s="1" t="n">
        <v>46051</v>
      </c>
      <c r="D312" t="inlineStr">
        <is>
          <t>VÄRMLANDS LÄN</t>
        </is>
      </c>
      <c r="E312" t="inlineStr">
        <is>
          <t>ÅRJÄNG</t>
        </is>
      </c>
      <c r="G312" t="n">
        <v>3.2</v>
      </c>
      <c r="H312" t="n">
        <v>0</v>
      </c>
      <c r="I312" t="n">
        <v>0</v>
      </c>
      <c r="J312" t="n">
        <v>0</v>
      </c>
      <c r="K312" t="n">
        <v>0</v>
      </c>
      <c r="L312" t="n">
        <v>0</v>
      </c>
      <c r="M312" t="n">
        <v>0</v>
      </c>
      <c r="N312" t="n">
        <v>0</v>
      </c>
      <c r="O312" t="n">
        <v>0</v>
      </c>
      <c r="P312" t="n">
        <v>0</v>
      </c>
      <c r="Q312" t="n">
        <v>0</v>
      </c>
      <c r="R312" s="2" t="inlineStr"/>
    </row>
    <row r="313" ht="15" customHeight="1">
      <c r="A313" t="inlineStr">
        <is>
          <t>A 58436-2023</t>
        </is>
      </c>
      <c r="B313" s="1" t="n">
        <v>45250</v>
      </c>
      <c r="C313" s="1" t="n">
        <v>46051</v>
      </c>
      <c r="D313" t="inlineStr">
        <is>
          <t>VÄRMLANDS LÄN</t>
        </is>
      </c>
      <c r="E313" t="inlineStr">
        <is>
          <t>ÅRJÄNG</t>
        </is>
      </c>
      <c r="G313" t="n">
        <v>0.9</v>
      </c>
      <c r="H313" t="n">
        <v>0</v>
      </c>
      <c r="I313" t="n">
        <v>0</v>
      </c>
      <c r="J313" t="n">
        <v>0</v>
      </c>
      <c r="K313" t="n">
        <v>0</v>
      </c>
      <c r="L313" t="n">
        <v>0</v>
      </c>
      <c r="M313" t="n">
        <v>0</v>
      </c>
      <c r="N313" t="n">
        <v>0</v>
      </c>
      <c r="O313" t="n">
        <v>0</v>
      </c>
      <c r="P313" t="n">
        <v>0</v>
      </c>
      <c r="Q313" t="n">
        <v>0</v>
      </c>
      <c r="R313" s="2" t="inlineStr"/>
    </row>
    <row r="314" ht="15" customHeight="1">
      <c r="A314" t="inlineStr">
        <is>
          <t>A 32338-2024</t>
        </is>
      </c>
      <c r="B314" s="1" t="n">
        <v>45512</v>
      </c>
      <c r="C314" s="1" t="n">
        <v>46051</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5863-2023</t>
        </is>
      </c>
      <c r="B315" s="1" t="n">
        <v>44963</v>
      </c>
      <c r="C315" s="1" t="n">
        <v>46051</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74086-2021</t>
        </is>
      </c>
      <c r="B316" s="1" t="n">
        <v>44557.58112268519</v>
      </c>
      <c r="C316" s="1" t="n">
        <v>46051</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26284-2021</t>
        </is>
      </c>
      <c r="B317" s="1" t="n">
        <v>44347</v>
      </c>
      <c r="C317" s="1" t="n">
        <v>46051</v>
      </c>
      <c r="D317" t="inlineStr">
        <is>
          <t>VÄRMLANDS LÄN</t>
        </is>
      </c>
      <c r="E317" t="inlineStr">
        <is>
          <t>ÅRJÄNG</t>
        </is>
      </c>
      <c r="G317" t="n">
        <v>0.8</v>
      </c>
      <c r="H317" t="n">
        <v>0</v>
      </c>
      <c r="I317" t="n">
        <v>0</v>
      </c>
      <c r="J317" t="n">
        <v>0</v>
      </c>
      <c r="K317" t="n">
        <v>0</v>
      </c>
      <c r="L317" t="n">
        <v>0</v>
      </c>
      <c r="M317" t="n">
        <v>0</v>
      </c>
      <c r="N317" t="n">
        <v>0</v>
      </c>
      <c r="O317" t="n">
        <v>0</v>
      </c>
      <c r="P317" t="n">
        <v>0</v>
      </c>
      <c r="Q317" t="n">
        <v>0</v>
      </c>
      <c r="R317" s="2" t="inlineStr"/>
    </row>
    <row r="318" ht="15" customHeight="1">
      <c r="A318" t="inlineStr">
        <is>
          <t>A 13155-2024</t>
        </is>
      </c>
      <c r="B318" s="1" t="n">
        <v>45386</v>
      </c>
      <c r="C318" s="1" t="n">
        <v>46051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49701-2022</t>
        </is>
      </c>
      <c r="B319" s="1" t="n">
        <v>44862.53201388889</v>
      </c>
      <c r="C319" s="1" t="n">
        <v>46051</v>
      </c>
      <c r="D319" t="inlineStr">
        <is>
          <t>VÄRMLANDS LÄN</t>
        </is>
      </c>
      <c r="E319" t="inlineStr">
        <is>
          <t>ÅRJÄNG</t>
        </is>
      </c>
      <c r="G319" t="n">
        <v>2.3</v>
      </c>
      <c r="H319" t="n">
        <v>0</v>
      </c>
      <c r="I319" t="n">
        <v>0</v>
      </c>
      <c r="J319" t="n">
        <v>0</v>
      </c>
      <c r="K319" t="n">
        <v>0</v>
      </c>
      <c r="L319" t="n">
        <v>0</v>
      </c>
      <c r="M319" t="n">
        <v>0</v>
      </c>
      <c r="N319" t="n">
        <v>0</v>
      </c>
      <c r="O319" t="n">
        <v>0</v>
      </c>
      <c r="P319" t="n">
        <v>0</v>
      </c>
      <c r="Q319" t="n">
        <v>0</v>
      </c>
      <c r="R319" s="2" t="inlineStr"/>
    </row>
    <row r="320" ht="15" customHeight="1">
      <c r="A320" t="inlineStr">
        <is>
          <t>A 16562-2024</t>
        </is>
      </c>
      <c r="B320" s="1" t="n">
        <v>45408.45829861111</v>
      </c>
      <c r="C320" s="1" t="n">
        <v>46051</v>
      </c>
      <c r="D320" t="inlineStr">
        <is>
          <t>VÄRMLANDS LÄN</t>
        </is>
      </c>
      <c r="E320" t="inlineStr">
        <is>
          <t>ÅRJÄNG</t>
        </is>
      </c>
      <c r="F320" t="inlineStr">
        <is>
          <t>Bergvik skog väst AB</t>
        </is>
      </c>
      <c r="G320" t="n">
        <v>0.4</v>
      </c>
      <c r="H320" t="n">
        <v>0</v>
      </c>
      <c r="I320" t="n">
        <v>0</v>
      </c>
      <c r="J320" t="n">
        <v>0</v>
      </c>
      <c r="K320" t="n">
        <v>0</v>
      </c>
      <c r="L320" t="n">
        <v>0</v>
      </c>
      <c r="M320" t="n">
        <v>0</v>
      </c>
      <c r="N320" t="n">
        <v>0</v>
      </c>
      <c r="O320" t="n">
        <v>0</v>
      </c>
      <c r="P320" t="n">
        <v>0</v>
      </c>
      <c r="Q320" t="n">
        <v>0</v>
      </c>
      <c r="R320" s="2" t="inlineStr"/>
    </row>
    <row r="321" ht="15" customHeight="1">
      <c r="A321" t="inlineStr">
        <is>
          <t>A 26833-2024</t>
        </is>
      </c>
      <c r="B321" s="1" t="n">
        <v>45470</v>
      </c>
      <c r="C321" s="1" t="n">
        <v>46051</v>
      </c>
      <c r="D321" t="inlineStr">
        <is>
          <t>VÄRMLANDS LÄN</t>
        </is>
      </c>
      <c r="E321" t="inlineStr">
        <is>
          <t>ÅRJÄNG</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60172-2023</t>
        </is>
      </c>
      <c r="B322" s="1" t="n">
        <v>45257</v>
      </c>
      <c r="C322" s="1" t="n">
        <v>46051</v>
      </c>
      <c r="D322" t="inlineStr">
        <is>
          <t>VÄRMLANDS LÄN</t>
        </is>
      </c>
      <c r="E322" t="inlineStr">
        <is>
          <t>ÅRJÄNG</t>
        </is>
      </c>
      <c r="G322" t="n">
        <v>2.1</v>
      </c>
      <c r="H322" t="n">
        <v>0</v>
      </c>
      <c r="I322" t="n">
        <v>0</v>
      </c>
      <c r="J322" t="n">
        <v>0</v>
      </c>
      <c r="K322" t="n">
        <v>0</v>
      </c>
      <c r="L322" t="n">
        <v>0</v>
      </c>
      <c r="M322" t="n">
        <v>0</v>
      </c>
      <c r="N322" t="n">
        <v>0</v>
      </c>
      <c r="O322" t="n">
        <v>0</v>
      </c>
      <c r="P322" t="n">
        <v>0</v>
      </c>
      <c r="Q322" t="n">
        <v>0</v>
      </c>
      <c r="R322" s="2" t="inlineStr"/>
    </row>
    <row r="323" ht="15" customHeight="1">
      <c r="A323" t="inlineStr">
        <is>
          <t>A 57062-2022</t>
        </is>
      </c>
      <c r="B323" s="1" t="n">
        <v>44895.40797453704</v>
      </c>
      <c r="C323" s="1" t="n">
        <v>46051</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23690-2024</t>
        </is>
      </c>
      <c r="B324" s="1" t="n">
        <v>45454.65612268518</v>
      </c>
      <c r="C324" s="1" t="n">
        <v>46051</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57992-2023</t>
        </is>
      </c>
      <c r="B325" s="1" t="n">
        <v>45244</v>
      </c>
      <c r="C325" s="1" t="n">
        <v>46051</v>
      </c>
      <c r="D325" t="inlineStr">
        <is>
          <t>VÄRMLANDS LÄN</t>
        </is>
      </c>
      <c r="E325" t="inlineStr">
        <is>
          <t>ÅRJÄNG</t>
        </is>
      </c>
      <c r="G325" t="n">
        <v>1.9</v>
      </c>
      <c r="H325" t="n">
        <v>0</v>
      </c>
      <c r="I325" t="n">
        <v>0</v>
      </c>
      <c r="J325" t="n">
        <v>0</v>
      </c>
      <c r="K325" t="n">
        <v>0</v>
      </c>
      <c r="L325" t="n">
        <v>0</v>
      </c>
      <c r="M325" t="n">
        <v>0</v>
      </c>
      <c r="N325" t="n">
        <v>0</v>
      </c>
      <c r="O325" t="n">
        <v>0</v>
      </c>
      <c r="P325" t="n">
        <v>0</v>
      </c>
      <c r="Q325" t="n">
        <v>0</v>
      </c>
      <c r="R325" s="2" t="inlineStr"/>
    </row>
    <row r="326" ht="15" customHeight="1">
      <c r="A326" t="inlineStr">
        <is>
          <t>A 62609-2023</t>
        </is>
      </c>
      <c r="B326" s="1" t="n">
        <v>45267</v>
      </c>
      <c r="C326" s="1" t="n">
        <v>46051</v>
      </c>
      <c r="D326" t="inlineStr">
        <is>
          <t>VÄRMLANDS LÄN</t>
        </is>
      </c>
      <c r="E326" t="inlineStr">
        <is>
          <t>ÅRJÄNG</t>
        </is>
      </c>
      <c r="G326" t="n">
        <v>14.4</v>
      </c>
      <c r="H326" t="n">
        <v>0</v>
      </c>
      <c r="I326" t="n">
        <v>0</v>
      </c>
      <c r="J326" t="n">
        <v>0</v>
      </c>
      <c r="K326" t="n">
        <v>0</v>
      </c>
      <c r="L326" t="n">
        <v>0</v>
      </c>
      <c r="M326" t="n">
        <v>0</v>
      </c>
      <c r="N326" t="n">
        <v>0</v>
      </c>
      <c r="O326" t="n">
        <v>0</v>
      </c>
      <c r="P326" t="n">
        <v>0</v>
      </c>
      <c r="Q326" t="n">
        <v>0</v>
      </c>
      <c r="R326" s="2" t="inlineStr"/>
    </row>
    <row r="327" ht="15" customHeight="1">
      <c r="A327" t="inlineStr">
        <is>
          <t>A 34526-2023</t>
        </is>
      </c>
      <c r="B327" s="1" t="n">
        <v>45140.41518518519</v>
      </c>
      <c r="C327" s="1" t="n">
        <v>46051</v>
      </c>
      <c r="D327" t="inlineStr">
        <is>
          <t>VÄRMLANDS LÄN</t>
        </is>
      </c>
      <c r="E327" t="inlineStr">
        <is>
          <t>ÅRJÄNG</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50388-2024</t>
        </is>
      </c>
      <c r="B328" s="1" t="n">
        <v>45600</v>
      </c>
      <c r="C328" s="1" t="n">
        <v>46051</v>
      </c>
      <c r="D328" t="inlineStr">
        <is>
          <t>VÄRMLANDS LÄN</t>
        </is>
      </c>
      <c r="E328" t="inlineStr">
        <is>
          <t>ÅRJÄNG</t>
        </is>
      </c>
      <c r="G328" t="n">
        <v>1.3</v>
      </c>
      <c r="H328" t="n">
        <v>0</v>
      </c>
      <c r="I328" t="n">
        <v>0</v>
      </c>
      <c r="J328" t="n">
        <v>0</v>
      </c>
      <c r="K328" t="n">
        <v>0</v>
      </c>
      <c r="L328" t="n">
        <v>0</v>
      </c>
      <c r="M328" t="n">
        <v>0</v>
      </c>
      <c r="N328" t="n">
        <v>0</v>
      </c>
      <c r="O328" t="n">
        <v>0</v>
      </c>
      <c r="P328" t="n">
        <v>0</v>
      </c>
      <c r="Q328" t="n">
        <v>0</v>
      </c>
      <c r="R328" s="2" t="inlineStr"/>
    </row>
    <row r="329" ht="15" customHeight="1">
      <c r="A329" t="inlineStr">
        <is>
          <t>A 51269-2022</t>
        </is>
      </c>
      <c r="B329" s="1" t="n">
        <v>44868</v>
      </c>
      <c r="C329" s="1" t="n">
        <v>46051</v>
      </c>
      <c r="D329" t="inlineStr">
        <is>
          <t>VÄRMLANDS LÄN</t>
        </is>
      </c>
      <c r="E329" t="inlineStr">
        <is>
          <t>ÅRJÄNG</t>
        </is>
      </c>
      <c r="G329" t="n">
        <v>2.1</v>
      </c>
      <c r="H329" t="n">
        <v>0</v>
      </c>
      <c r="I329" t="n">
        <v>0</v>
      </c>
      <c r="J329" t="n">
        <v>0</v>
      </c>
      <c r="K329" t="n">
        <v>0</v>
      </c>
      <c r="L329" t="n">
        <v>0</v>
      </c>
      <c r="M329" t="n">
        <v>0</v>
      </c>
      <c r="N329" t="n">
        <v>0</v>
      </c>
      <c r="O329" t="n">
        <v>0</v>
      </c>
      <c r="P329" t="n">
        <v>0</v>
      </c>
      <c r="Q329" t="n">
        <v>0</v>
      </c>
      <c r="R329" s="2" t="inlineStr"/>
    </row>
    <row r="330" ht="15" customHeight="1">
      <c r="A330" t="inlineStr">
        <is>
          <t>A 33304-2021</t>
        </is>
      </c>
      <c r="B330" s="1" t="n">
        <v>44377.43040509259</v>
      </c>
      <c r="C330" s="1" t="n">
        <v>46051</v>
      </c>
      <c r="D330" t="inlineStr">
        <is>
          <t>VÄRMLANDS LÄN</t>
        </is>
      </c>
      <c r="E330" t="inlineStr">
        <is>
          <t>ÅRJÄNG</t>
        </is>
      </c>
      <c r="G330" t="n">
        <v>4.9</v>
      </c>
      <c r="H330" t="n">
        <v>0</v>
      </c>
      <c r="I330" t="n">
        <v>0</v>
      </c>
      <c r="J330" t="n">
        <v>0</v>
      </c>
      <c r="K330" t="n">
        <v>0</v>
      </c>
      <c r="L330" t="n">
        <v>0</v>
      </c>
      <c r="M330" t="n">
        <v>0</v>
      </c>
      <c r="N330" t="n">
        <v>0</v>
      </c>
      <c r="O330" t="n">
        <v>0</v>
      </c>
      <c r="P330" t="n">
        <v>0</v>
      </c>
      <c r="Q330" t="n">
        <v>0</v>
      </c>
      <c r="R330" s="2" t="inlineStr"/>
    </row>
    <row r="331" ht="15" customHeight="1">
      <c r="A331" t="inlineStr">
        <is>
          <t>A 24893-2024</t>
        </is>
      </c>
      <c r="B331" s="1" t="n">
        <v>45461.57194444445</v>
      </c>
      <c r="C331" s="1" t="n">
        <v>46051</v>
      </c>
      <c r="D331" t="inlineStr">
        <is>
          <t>VÄRMLANDS LÄN</t>
        </is>
      </c>
      <c r="E331" t="inlineStr">
        <is>
          <t>ÅRJÄNG</t>
        </is>
      </c>
      <c r="G331" t="n">
        <v>3.1</v>
      </c>
      <c r="H331" t="n">
        <v>0</v>
      </c>
      <c r="I331" t="n">
        <v>0</v>
      </c>
      <c r="J331" t="n">
        <v>0</v>
      </c>
      <c r="K331" t="n">
        <v>0</v>
      </c>
      <c r="L331" t="n">
        <v>0</v>
      </c>
      <c r="M331" t="n">
        <v>0</v>
      </c>
      <c r="N331" t="n">
        <v>0</v>
      </c>
      <c r="O331" t="n">
        <v>0</v>
      </c>
      <c r="P331" t="n">
        <v>0</v>
      </c>
      <c r="Q331" t="n">
        <v>0</v>
      </c>
      <c r="R331" s="2" t="inlineStr"/>
    </row>
    <row r="332" ht="15" customHeight="1">
      <c r="A332" t="inlineStr">
        <is>
          <t>A 34032-2021</t>
        </is>
      </c>
      <c r="B332" s="1" t="n">
        <v>44378</v>
      </c>
      <c r="C332" s="1" t="n">
        <v>46051</v>
      </c>
      <c r="D332" t="inlineStr">
        <is>
          <t>VÄRMLANDS LÄN</t>
        </is>
      </c>
      <c r="E332" t="inlineStr">
        <is>
          <t>ÅRJÄNG</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24339-2024</t>
        </is>
      </c>
      <c r="B333" s="1" t="n">
        <v>45457</v>
      </c>
      <c r="C333" s="1" t="n">
        <v>46051</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30693-2021</t>
        </is>
      </c>
      <c r="B334" s="1" t="n">
        <v>44365</v>
      </c>
      <c r="C334" s="1" t="n">
        <v>46051</v>
      </c>
      <c r="D334" t="inlineStr">
        <is>
          <t>VÄRMLANDS LÄN</t>
        </is>
      </c>
      <c r="E334" t="inlineStr">
        <is>
          <t>ÅRJÄNG</t>
        </is>
      </c>
      <c r="G334" t="n">
        <v>8.4</v>
      </c>
      <c r="H334" t="n">
        <v>0</v>
      </c>
      <c r="I334" t="n">
        <v>0</v>
      </c>
      <c r="J334" t="n">
        <v>0</v>
      </c>
      <c r="K334" t="n">
        <v>0</v>
      </c>
      <c r="L334" t="n">
        <v>0</v>
      </c>
      <c r="M334" t="n">
        <v>0</v>
      </c>
      <c r="N334" t="n">
        <v>0</v>
      </c>
      <c r="O334" t="n">
        <v>0</v>
      </c>
      <c r="P334" t="n">
        <v>0</v>
      </c>
      <c r="Q334" t="n">
        <v>0</v>
      </c>
      <c r="R334" s="2" t="inlineStr"/>
    </row>
    <row r="335" ht="15" customHeight="1">
      <c r="A335" t="inlineStr">
        <is>
          <t>A 50537-2023</t>
        </is>
      </c>
      <c r="B335" s="1" t="n">
        <v>45217</v>
      </c>
      <c r="C335" s="1" t="n">
        <v>46051</v>
      </c>
      <c r="D335" t="inlineStr">
        <is>
          <t>VÄRMLANDS LÄN</t>
        </is>
      </c>
      <c r="E335" t="inlineStr">
        <is>
          <t>ÅRJÄNG</t>
        </is>
      </c>
      <c r="G335" t="n">
        <v>0.5</v>
      </c>
      <c r="H335" t="n">
        <v>0</v>
      </c>
      <c r="I335" t="n">
        <v>0</v>
      </c>
      <c r="J335" t="n">
        <v>0</v>
      </c>
      <c r="K335" t="n">
        <v>0</v>
      </c>
      <c r="L335" t="n">
        <v>0</v>
      </c>
      <c r="M335" t="n">
        <v>0</v>
      </c>
      <c r="N335" t="n">
        <v>0</v>
      </c>
      <c r="O335" t="n">
        <v>0</v>
      </c>
      <c r="P335" t="n">
        <v>0</v>
      </c>
      <c r="Q335" t="n">
        <v>0</v>
      </c>
      <c r="R335" s="2" t="inlineStr"/>
    </row>
    <row r="336" ht="15" customHeight="1">
      <c r="A336" t="inlineStr">
        <is>
          <t>A 58141-2023</t>
        </is>
      </c>
      <c r="B336" s="1" t="n">
        <v>45245</v>
      </c>
      <c r="C336" s="1" t="n">
        <v>46051</v>
      </c>
      <c r="D336" t="inlineStr">
        <is>
          <t>VÄRMLANDS LÄN</t>
        </is>
      </c>
      <c r="E336" t="inlineStr">
        <is>
          <t>ÅRJÄNG</t>
        </is>
      </c>
      <c r="G336" t="n">
        <v>6.2</v>
      </c>
      <c r="H336" t="n">
        <v>0</v>
      </c>
      <c r="I336" t="n">
        <v>0</v>
      </c>
      <c r="J336" t="n">
        <v>0</v>
      </c>
      <c r="K336" t="n">
        <v>0</v>
      </c>
      <c r="L336" t="n">
        <v>0</v>
      </c>
      <c r="M336" t="n">
        <v>0</v>
      </c>
      <c r="N336" t="n">
        <v>0</v>
      </c>
      <c r="O336" t="n">
        <v>0</v>
      </c>
      <c r="P336" t="n">
        <v>0</v>
      </c>
      <c r="Q336" t="n">
        <v>0</v>
      </c>
      <c r="R336" s="2" t="inlineStr"/>
    </row>
    <row r="337" ht="15" customHeight="1">
      <c r="A337" t="inlineStr">
        <is>
          <t>A 43027-2021</t>
        </is>
      </c>
      <c r="B337" s="1" t="n">
        <v>44431.49119212963</v>
      </c>
      <c r="C337" s="1" t="n">
        <v>46051</v>
      </c>
      <c r="D337" t="inlineStr">
        <is>
          <t>VÄRMLANDS LÄN</t>
        </is>
      </c>
      <c r="E337" t="inlineStr">
        <is>
          <t>ÅRJÄNG</t>
        </is>
      </c>
      <c r="G337" t="n">
        <v>1.6</v>
      </c>
      <c r="H337" t="n">
        <v>0</v>
      </c>
      <c r="I337" t="n">
        <v>0</v>
      </c>
      <c r="J337" t="n">
        <v>0</v>
      </c>
      <c r="K337" t="n">
        <v>0</v>
      </c>
      <c r="L337" t="n">
        <v>0</v>
      </c>
      <c r="M337" t="n">
        <v>0</v>
      </c>
      <c r="N337" t="n">
        <v>0</v>
      </c>
      <c r="O337" t="n">
        <v>0</v>
      </c>
      <c r="P337" t="n">
        <v>0</v>
      </c>
      <c r="Q337" t="n">
        <v>0</v>
      </c>
      <c r="R337" s="2" t="inlineStr"/>
    </row>
    <row r="338" ht="15" customHeight="1">
      <c r="A338" t="inlineStr">
        <is>
          <t>A 27138-2024</t>
        </is>
      </c>
      <c r="B338" s="1" t="n">
        <v>45471</v>
      </c>
      <c r="C338" s="1" t="n">
        <v>46051</v>
      </c>
      <c r="D338" t="inlineStr">
        <is>
          <t>VÄRMLANDS LÄN</t>
        </is>
      </c>
      <c r="E338" t="inlineStr">
        <is>
          <t>ÅRJÄNG</t>
        </is>
      </c>
      <c r="G338" t="n">
        <v>5.7</v>
      </c>
      <c r="H338" t="n">
        <v>0</v>
      </c>
      <c r="I338" t="n">
        <v>0</v>
      </c>
      <c r="J338" t="n">
        <v>0</v>
      </c>
      <c r="K338" t="n">
        <v>0</v>
      </c>
      <c r="L338" t="n">
        <v>0</v>
      </c>
      <c r="M338" t="n">
        <v>0</v>
      </c>
      <c r="N338" t="n">
        <v>0</v>
      </c>
      <c r="O338" t="n">
        <v>0</v>
      </c>
      <c r="P338" t="n">
        <v>0</v>
      </c>
      <c r="Q338" t="n">
        <v>0</v>
      </c>
      <c r="R338" s="2" t="inlineStr"/>
    </row>
    <row r="339" ht="15" customHeight="1">
      <c r="A339" t="inlineStr">
        <is>
          <t>A 1665-2023</t>
        </is>
      </c>
      <c r="B339" s="1" t="n">
        <v>44938</v>
      </c>
      <c r="C339" s="1" t="n">
        <v>46051</v>
      </c>
      <c r="D339" t="inlineStr">
        <is>
          <t>VÄRMLANDS LÄN</t>
        </is>
      </c>
      <c r="E339" t="inlineStr">
        <is>
          <t>ÅRJÄNG</t>
        </is>
      </c>
      <c r="G339" t="n">
        <v>5.1</v>
      </c>
      <c r="H339" t="n">
        <v>0</v>
      </c>
      <c r="I339" t="n">
        <v>0</v>
      </c>
      <c r="J339" t="n">
        <v>0</v>
      </c>
      <c r="K339" t="n">
        <v>0</v>
      </c>
      <c r="L339" t="n">
        <v>0</v>
      </c>
      <c r="M339" t="n">
        <v>0</v>
      </c>
      <c r="N339" t="n">
        <v>0</v>
      </c>
      <c r="O339" t="n">
        <v>0</v>
      </c>
      <c r="P339" t="n">
        <v>0</v>
      </c>
      <c r="Q339" t="n">
        <v>0</v>
      </c>
      <c r="R339" s="2" t="inlineStr"/>
    </row>
    <row r="340" ht="15" customHeight="1">
      <c r="A340" t="inlineStr">
        <is>
          <t>A 38158-2023</t>
        </is>
      </c>
      <c r="B340" s="1" t="n">
        <v>45161</v>
      </c>
      <c r="C340" s="1" t="n">
        <v>46051</v>
      </c>
      <c r="D340" t="inlineStr">
        <is>
          <t>VÄRMLANDS LÄN</t>
        </is>
      </c>
      <c r="E340" t="inlineStr">
        <is>
          <t>ÅRJÄNG</t>
        </is>
      </c>
      <c r="G340" t="n">
        <v>1.1</v>
      </c>
      <c r="H340" t="n">
        <v>0</v>
      </c>
      <c r="I340" t="n">
        <v>0</v>
      </c>
      <c r="J340" t="n">
        <v>0</v>
      </c>
      <c r="K340" t="n">
        <v>0</v>
      </c>
      <c r="L340" t="n">
        <v>0</v>
      </c>
      <c r="M340" t="n">
        <v>0</v>
      </c>
      <c r="N340" t="n">
        <v>0</v>
      </c>
      <c r="O340" t="n">
        <v>0</v>
      </c>
      <c r="P340" t="n">
        <v>0</v>
      </c>
      <c r="Q340" t="n">
        <v>0</v>
      </c>
      <c r="R340" s="2" t="inlineStr"/>
    </row>
    <row r="341" ht="15" customHeight="1">
      <c r="A341" t="inlineStr">
        <is>
          <t>A 24281-2024</t>
        </is>
      </c>
      <c r="B341" s="1" t="n">
        <v>45457</v>
      </c>
      <c r="C341" s="1" t="n">
        <v>46051</v>
      </c>
      <c r="D341" t="inlineStr">
        <is>
          <t>VÄRMLANDS LÄN</t>
        </is>
      </c>
      <c r="E341" t="inlineStr">
        <is>
          <t>ÅRJÄNG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28733-2024</t>
        </is>
      </c>
      <c r="B342" s="1" t="n">
        <v>45478</v>
      </c>
      <c r="C342" s="1" t="n">
        <v>46051</v>
      </c>
      <c r="D342" t="inlineStr">
        <is>
          <t>VÄRMLANDS LÄN</t>
        </is>
      </c>
      <c r="E342" t="inlineStr">
        <is>
          <t>ÅRJÄNG</t>
        </is>
      </c>
      <c r="F342" t="inlineStr">
        <is>
          <t>Bergvik skog väst AB</t>
        </is>
      </c>
      <c r="G342" t="n">
        <v>1.8</v>
      </c>
      <c r="H342" t="n">
        <v>0</v>
      </c>
      <c r="I342" t="n">
        <v>0</v>
      </c>
      <c r="J342" t="n">
        <v>0</v>
      </c>
      <c r="K342" t="n">
        <v>0</v>
      </c>
      <c r="L342" t="n">
        <v>0</v>
      </c>
      <c r="M342" t="n">
        <v>0</v>
      </c>
      <c r="N342" t="n">
        <v>0</v>
      </c>
      <c r="O342" t="n">
        <v>0</v>
      </c>
      <c r="P342" t="n">
        <v>0</v>
      </c>
      <c r="Q342" t="n">
        <v>0</v>
      </c>
      <c r="R342" s="2" t="inlineStr"/>
    </row>
    <row r="343" ht="15" customHeight="1">
      <c r="A343" t="inlineStr">
        <is>
          <t>A 72476-2021</t>
        </is>
      </c>
      <c r="B343" s="1" t="n">
        <v>44545.86997685185</v>
      </c>
      <c r="C343" s="1" t="n">
        <v>46051</v>
      </c>
      <c r="D343" t="inlineStr">
        <is>
          <t>VÄRMLANDS LÄN</t>
        </is>
      </c>
      <c r="E343" t="inlineStr">
        <is>
          <t>ÅRJÄNG</t>
        </is>
      </c>
      <c r="G343" t="n">
        <v>1.9</v>
      </c>
      <c r="H343" t="n">
        <v>0</v>
      </c>
      <c r="I343" t="n">
        <v>0</v>
      </c>
      <c r="J343" t="n">
        <v>0</v>
      </c>
      <c r="K343" t="n">
        <v>0</v>
      </c>
      <c r="L343" t="n">
        <v>0</v>
      </c>
      <c r="M343" t="n">
        <v>0</v>
      </c>
      <c r="N343" t="n">
        <v>0</v>
      </c>
      <c r="O343" t="n">
        <v>0</v>
      </c>
      <c r="P343" t="n">
        <v>0</v>
      </c>
      <c r="Q343" t="n">
        <v>0</v>
      </c>
      <c r="R343" s="2" t="inlineStr"/>
    </row>
    <row r="344" ht="15" customHeight="1">
      <c r="A344" t="inlineStr">
        <is>
          <t>A 39008-2023</t>
        </is>
      </c>
      <c r="B344" s="1" t="n">
        <v>45162</v>
      </c>
      <c r="C344" s="1" t="n">
        <v>46051</v>
      </c>
      <c r="D344" t="inlineStr">
        <is>
          <t>VÄRMLANDS LÄN</t>
        </is>
      </c>
      <c r="E344" t="inlineStr">
        <is>
          <t>ÅRJÄNG</t>
        </is>
      </c>
      <c r="G344" t="n">
        <v>5.1</v>
      </c>
      <c r="H344" t="n">
        <v>0</v>
      </c>
      <c r="I344" t="n">
        <v>0</v>
      </c>
      <c r="J344" t="n">
        <v>0</v>
      </c>
      <c r="K344" t="n">
        <v>0</v>
      </c>
      <c r="L344" t="n">
        <v>0</v>
      </c>
      <c r="M344" t="n">
        <v>0</v>
      </c>
      <c r="N344" t="n">
        <v>0</v>
      </c>
      <c r="O344" t="n">
        <v>0</v>
      </c>
      <c r="P344" t="n">
        <v>0</v>
      </c>
      <c r="Q344" t="n">
        <v>0</v>
      </c>
      <c r="R344" s="2" t="inlineStr"/>
    </row>
    <row r="345" ht="15" customHeight="1">
      <c r="A345" t="inlineStr">
        <is>
          <t>A 19246-2024</t>
        </is>
      </c>
      <c r="B345" s="1" t="n">
        <v>45428</v>
      </c>
      <c r="C345" s="1" t="n">
        <v>46051</v>
      </c>
      <c r="D345" t="inlineStr">
        <is>
          <t>VÄRMLANDS LÄN</t>
        </is>
      </c>
      <c r="E345" t="inlineStr">
        <is>
          <t>ÅRJÄNG</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92-2022</t>
        </is>
      </c>
      <c r="B346" s="1" t="n">
        <v>44564</v>
      </c>
      <c r="C346" s="1" t="n">
        <v>46051</v>
      </c>
      <c r="D346" t="inlineStr">
        <is>
          <t>VÄRMLANDS LÄN</t>
        </is>
      </c>
      <c r="E346" t="inlineStr">
        <is>
          <t>ÅRJÄNG</t>
        </is>
      </c>
      <c r="G346" t="n">
        <v>10.4</v>
      </c>
      <c r="H346" t="n">
        <v>0</v>
      </c>
      <c r="I346" t="n">
        <v>0</v>
      </c>
      <c r="J346" t="n">
        <v>0</v>
      </c>
      <c r="K346" t="n">
        <v>0</v>
      </c>
      <c r="L346" t="n">
        <v>0</v>
      </c>
      <c r="M346" t="n">
        <v>0</v>
      </c>
      <c r="N346" t="n">
        <v>0</v>
      </c>
      <c r="O346" t="n">
        <v>0</v>
      </c>
      <c r="P346" t="n">
        <v>0</v>
      </c>
      <c r="Q346" t="n">
        <v>0</v>
      </c>
      <c r="R346" s="2" t="inlineStr"/>
    </row>
    <row r="347" ht="15" customHeight="1">
      <c r="A347" t="inlineStr">
        <is>
          <t>A 9489-2023</t>
        </is>
      </c>
      <c r="B347" s="1" t="n">
        <v>44981</v>
      </c>
      <c r="C347" s="1" t="n">
        <v>46051</v>
      </c>
      <c r="D347" t="inlineStr">
        <is>
          <t>VÄRMLANDS LÄN</t>
        </is>
      </c>
      <c r="E347" t="inlineStr">
        <is>
          <t>ÅRJÄNG</t>
        </is>
      </c>
      <c r="G347" t="n">
        <v>0.8</v>
      </c>
      <c r="H347" t="n">
        <v>0</v>
      </c>
      <c r="I347" t="n">
        <v>0</v>
      </c>
      <c r="J347" t="n">
        <v>0</v>
      </c>
      <c r="K347" t="n">
        <v>0</v>
      </c>
      <c r="L347" t="n">
        <v>0</v>
      </c>
      <c r="M347" t="n">
        <v>0</v>
      </c>
      <c r="N347" t="n">
        <v>0</v>
      </c>
      <c r="O347" t="n">
        <v>0</v>
      </c>
      <c r="P347" t="n">
        <v>0</v>
      </c>
      <c r="Q347" t="n">
        <v>0</v>
      </c>
      <c r="R347" s="2" t="inlineStr"/>
    </row>
    <row r="348" ht="15" customHeight="1">
      <c r="A348" t="inlineStr">
        <is>
          <t>A 36642-2021</t>
        </is>
      </c>
      <c r="B348" s="1" t="n">
        <v>44392</v>
      </c>
      <c r="C348" s="1" t="n">
        <v>46051</v>
      </c>
      <c r="D348" t="inlineStr">
        <is>
          <t>VÄRMLANDS LÄN</t>
        </is>
      </c>
      <c r="E348" t="inlineStr">
        <is>
          <t>ÅRJÄNG</t>
        </is>
      </c>
      <c r="G348" t="n">
        <v>6.1</v>
      </c>
      <c r="H348" t="n">
        <v>0</v>
      </c>
      <c r="I348" t="n">
        <v>0</v>
      </c>
      <c r="J348" t="n">
        <v>0</v>
      </c>
      <c r="K348" t="n">
        <v>0</v>
      </c>
      <c r="L348" t="n">
        <v>0</v>
      </c>
      <c r="M348" t="n">
        <v>0</v>
      </c>
      <c r="N348" t="n">
        <v>0</v>
      </c>
      <c r="O348" t="n">
        <v>0</v>
      </c>
      <c r="P348" t="n">
        <v>0</v>
      </c>
      <c r="Q348" t="n">
        <v>0</v>
      </c>
      <c r="R348" s="2" t="inlineStr"/>
    </row>
    <row r="349" ht="15" customHeight="1">
      <c r="A349" t="inlineStr">
        <is>
          <t>A 4404-2025</t>
        </is>
      </c>
      <c r="B349" s="1" t="n">
        <v>45686</v>
      </c>
      <c r="C349" s="1" t="n">
        <v>46051</v>
      </c>
      <c r="D349" t="inlineStr">
        <is>
          <t>VÄRMLANDS LÄN</t>
        </is>
      </c>
      <c r="E349" t="inlineStr">
        <is>
          <t>ÅRJÄNG</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19245-2024</t>
        </is>
      </c>
      <c r="B350" s="1" t="n">
        <v>45428</v>
      </c>
      <c r="C350" s="1" t="n">
        <v>46051</v>
      </c>
      <c r="D350" t="inlineStr">
        <is>
          <t>VÄRMLANDS LÄN</t>
        </is>
      </c>
      <c r="E350" t="inlineStr">
        <is>
          <t>ÅRJÄNG</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61154-2021</t>
        </is>
      </c>
      <c r="B351" s="1" t="n">
        <v>44497</v>
      </c>
      <c r="C351" s="1" t="n">
        <v>46051</v>
      </c>
      <c r="D351" t="inlineStr">
        <is>
          <t>VÄRMLANDS LÄN</t>
        </is>
      </c>
      <c r="E351" t="inlineStr">
        <is>
          <t>ÅRJÄNG</t>
        </is>
      </c>
      <c r="G351" t="n">
        <v>1.6</v>
      </c>
      <c r="H351" t="n">
        <v>0</v>
      </c>
      <c r="I351" t="n">
        <v>0</v>
      </c>
      <c r="J351" t="n">
        <v>0</v>
      </c>
      <c r="K351" t="n">
        <v>0</v>
      </c>
      <c r="L351" t="n">
        <v>0</v>
      </c>
      <c r="M351" t="n">
        <v>0</v>
      </c>
      <c r="N351" t="n">
        <v>0</v>
      </c>
      <c r="O351" t="n">
        <v>0</v>
      </c>
      <c r="P351" t="n">
        <v>0</v>
      </c>
      <c r="Q351" t="n">
        <v>0</v>
      </c>
      <c r="R351" s="2" t="inlineStr"/>
    </row>
    <row r="352" ht="15" customHeight="1">
      <c r="A352" t="inlineStr">
        <is>
          <t>A 28115-2025</t>
        </is>
      </c>
      <c r="B352" s="1" t="n">
        <v>45818</v>
      </c>
      <c r="C352" s="1" t="n">
        <v>46051</v>
      </c>
      <c r="D352" t="inlineStr">
        <is>
          <t>VÄRMLANDS LÄN</t>
        </is>
      </c>
      <c r="E352" t="inlineStr">
        <is>
          <t>ÅRJÄNG</t>
        </is>
      </c>
      <c r="G352" t="n">
        <v>3</v>
      </c>
      <c r="H352" t="n">
        <v>0</v>
      </c>
      <c r="I352" t="n">
        <v>0</v>
      </c>
      <c r="J352" t="n">
        <v>0</v>
      </c>
      <c r="K352" t="n">
        <v>0</v>
      </c>
      <c r="L352" t="n">
        <v>0</v>
      </c>
      <c r="M352" t="n">
        <v>0</v>
      </c>
      <c r="N352" t="n">
        <v>0</v>
      </c>
      <c r="O352" t="n">
        <v>0</v>
      </c>
      <c r="P352" t="n">
        <v>0</v>
      </c>
      <c r="Q352" t="n">
        <v>0</v>
      </c>
      <c r="R352" s="2" t="inlineStr"/>
    </row>
    <row r="353" ht="15" customHeight="1">
      <c r="A353" t="inlineStr">
        <is>
          <t>A 26258-2025</t>
        </is>
      </c>
      <c r="B353" s="1" t="n">
        <v>45805.58349537037</v>
      </c>
      <c r="C353" s="1" t="n">
        <v>46051</v>
      </c>
      <c r="D353" t="inlineStr">
        <is>
          <t>VÄRMLANDS LÄN</t>
        </is>
      </c>
      <c r="E353" t="inlineStr">
        <is>
          <t>ÅRJÄNG</t>
        </is>
      </c>
      <c r="G353" t="n">
        <v>2.3</v>
      </c>
      <c r="H353" t="n">
        <v>0</v>
      </c>
      <c r="I353" t="n">
        <v>0</v>
      </c>
      <c r="J353" t="n">
        <v>0</v>
      </c>
      <c r="K353" t="n">
        <v>0</v>
      </c>
      <c r="L353" t="n">
        <v>0</v>
      </c>
      <c r="M353" t="n">
        <v>0</v>
      </c>
      <c r="N353" t="n">
        <v>0</v>
      </c>
      <c r="O353" t="n">
        <v>0</v>
      </c>
      <c r="P353" t="n">
        <v>0</v>
      </c>
      <c r="Q353" t="n">
        <v>0</v>
      </c>
      <c r="R353" s="2" t="inlineStr"/>
    </row>
    <row r="354" ht="15" customHeight="1">
      <c r="A354" t="inlineStr">
        <is>
          <t>A 5319-2025</t>
        </is>
      </c>
      <c r="B354" s="1" t="n">
        <v>45692.52384259259</v>
      </c>
      <c r="C354" s="1" t="n">
        <v>46051</v>
      </c>
      <c r="D354" t="inlineStr">
        <is>
          <t>VÄRMLANDS LÄN</t>
        </is>
      </c>
      <c r="E354" t="inlineStr">
        <is>
          <t>ÅRJÄNG</t>
        </is>
      </c>
      <c r="G354" t="n">
        <v>1.8</v>
      </c>
      <c r="H354" t="n">
        <v>0</v>
      </c>
      <c r="I354" t="n">
        <v>0</v>
      </c>
      <c r="J354" t="n">
        <v>0</v>
      </c>
      <c r="K354" t="n">
        <v>0</v>
      </c>
      <c r="L354" t="n">
        <v>0</v>
      </c>
      <c r="M354" t="n">
        <v>0</v>
      </c>
      <c r="N354" t="n">
        <v>0</v>
      </c>
      <c r="O354" t="n">
        <v>0</v>
      </c>
      <c r="P354" t="n">
        <v>0</v>
      </c>
      <c r="Q354" t="n">
        <v>0</v>
      </c>
      <c r="R354" s="2" t="inlineStr"/>
    </row>
    <row r="355" ht="15" customHeight="1">
      <c r="A355" t="inlineStr">
        <is>
          <t>A 12840-2025</t>
        </is>
      </c>
      <c r="B355" s="1" t="n">
        <v>45733</v>
      </c>
      <c r="C355" s="1" t="n">
        <v>46051</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2969-2022</t>
        </is>
      </c>
      <c r="B356" s="1" t="n">
        <v>44581.70811342593</v>
      </c>
      <c r="C356" s="1" t="n">
        <v>46051</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8146-2024</t>
        </is>
      </c>
      <c r="B357" s="1" t="n">
        <v>45351.57671296296</v>
      </c>
      <c r="C357" s="1" t="n">
        <v>46051</v>
      </c>
      <c r="D357" t="inlineStr">
        <is>
          <t>VÄRMLANDS LÄN</t>
        </is>
      </c>
      <c r="E357" t="inlineStr">
        <is>
          <t>ÅRJÄNG</t>
        </is>
      </c>
      <c r="G357" t="n">
        <v>1.7</v>
      </c>
      <c r="H357" t="n">
        <v>0</v>
      </c>
      <c r="I357" t="n">
        <v>0</v>
      </c>
      <c r="J357" t="n">
        <v>0</v>
      </c>
      <c r="K357" t="n">
        <v>0</v>
      </c>
      <c r="L357" t="n">
        <v>0</v>
      </c>
      <c r="M357" t="n">
        <v>0</v>
      </c>
      <c r="N357" t="n">
        <v>0</v>
      </c>
      <c r="O357" t="n">
        <v>0</v>
      </c>
      <c r="P357" t="n">
        <v>0</v>
      </c>
      <c r="Q357" t="n">
        <v>0</v>
      </c>
      <c r="R357" s="2" t="inlineStr"/>
    </row>
    <row r="358" ht="15" customHeight="1">
      <c r="A358" t="inlineStr">
        <is>
          <t>A 19850-2025</t>
        </is>
      </c>
      <c r="B358" s="1" t="n">
        <v>45771</v>
      </c>
      <c r="C358" s="1" t="n">
        <v>46051</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26758-2025</t>
        </is>
      </c>
      <c r="B359" s="1" t="n">
        <v>45807</v>
      </c>
      <c r="C359" s="1" t="n">
        <v>46051</v>
      </c>
      <c r="D359" t="inlineStr">
        <is>
          <t>VÄRMLANDS LÄN</t>
        </is>
      </c>
      <c r="E359" t="inlineStr">
        <is>
          <t>ÅRJÄNG</t>
        </is>
      </c>
      <c r="G359" t="n">
        <v>1.5</v>
      </c>
      <c r="H359" t="n">
        <v>0</v>
      </c>
      <c r="I359" t="n">
        <v>0</v>
      </c>
      <c r="J359" t="n">
        <v>0</v>
      </c>
      <c r="K359" t="n">
        <v>0</v>
      </c>
      <c r="L359" t="n">
        <v>0</v>
      </c>
      <c r="M359" t="n">
        <v>0</v>
      </c>
      <c r="N359" t="n">
        <v>0</v>
      </c>
      <c r="O359" t="n">
        <v>0</v>
      </c>
      <c r="P359" t="n">
        <v>0</v>
      </c>
      <c r="Q359" t="n">
        <v>0</v>
      </c>
      <c r="R359" s="2" t="inlineStr"/>
    </row>
    <row r="360" ht="15" customHeight="1">
      <c r="A360" t="inlineStr">
        <is>
          <t>A 26728-2025</t>
        </is>
      </c>
      <c r="B360" s="1" t="n">
        <v>45810.50186342592</v>
      </c>
      <c r="C360" s="1" t="n">
        <v>46051</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74448-2021</t>
        </is>
      </c>
      <c r="B361" s="1" t="n">
        <v>44560.47202546296</v>
      </c>
      <c r="C361" s="1" t="n">
        <v>46051</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61295-2022</t>
        </is>
      </c>
      <c r="B362" s="1" t="n">
        <v>44915</v>
      </c>
      <c r="C362" s="1" t="n">
        <v>46051</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10648-2023</t>
        </is>
      </c>
      <c r="B363" s="1" t="n">
        <v>44984</v>
      </c>
      <c r="C363" s="1" t="n">
        <v>46051</v>
      </c>
      <c r="D363" t="inlineStr">
        <is>
          <t>VÄRMLANDS LÄN</t>
        </is>
      </c>
      <c r="E363" t="inlineStr">
        <is>
          <t>ÅRJÄNG</t>
        </is>
      </c>
      <c r="G363" t="n">
        <v>0.6</v>
      </c>
      <c r="H363" t="n">
        <v>0</v>
      </c>
      <c r="I363" t="n">
        <v>0</v>
      </c>
      <c r="J363" t="n">
        <v>0</v>
      </c>
      <c r="K363" t="n">
        <v>0</v>
      </c>
      <c r="L363" t="n">
        <v>0</v>
      </c>
      <c r="M363" t="n">
        <v>0</v>
      </c>
      <c r="N363" t="n">
        <v>0</v>
      </c>
      <c r="O363" t="n">
        <v>0</v>
      </c>
      <c r="P363" t="n">
        <v>0</v>
      </c>
      <c r="Q363" t="n">
        <v>0</v>
      </c>
      <c r="R363" s="2" t="inlineStr"/>
    </row>
    <row r="364" ht="15" customHeight="1">
      <c r="A364" t="inlineStr">
        <is>
          <t>A 19877-2025</t>
        </is>
      </c>
      <c r="B364" s="1" t="n">
        <v>45771.55351851852</v>
      </c>
      <c r="C364" s="1" t="n">
        <v>46051</v>
      </c>
      <c r="D364" t="inlineStr">
        <is>
          <t>VÄRMLANDS LÄN</t>
        </is>
      </c>
      <c r="E364" t="inlineStr">
        <is>
          <t>ÅRJÄNG</t>
        </is>
      </c>
      <c r="G364" t="n">
        <v>6.3</v>
      </c>
      <c r="H364" t="n">
        <v>0</v>
      </c>
      <c r="I364" t="n">
        <v>0</v>
      </c>
      <c r="J364" t="n">
        <v>0</v>
      </c>
      <c r="K364" t="n">
        <v>0</v>
      </c>
      <c r="L364" t="n">
        <v>0</v>
      </c>
      <c r="M364" t="n">
        <v>0</v>
      </c>
      <c r="N364" t="n">
        <v>0</v>
      </c>
      <c r="O364" t="n">
        <v>0</v>
      </c>
      <c r="P364" t="n">
        <v>0</v>
      </c>
      <c r="Q364" t="n">
        <v>0</v>
      </c>
      <c r="R364" s="2" t="inlineStr"/>
    </row>
    <row r="365" ht="15" customHeight="1">
      <c r="A365" t="inlineStr">
        <is>
          <t>A 36282-2024</t>
        </is>
      </c>
      <c r="B365" s="1" t="n">
        <v>45534.5887962963</v>
      </c>
      <c r="C365" s="1" t="n">
        <v>46051</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24789-2024</t>
        </is>
      </c>
      <c r="B366" s="1" t="n">
        <v>45460</v>
      </c>
      <c r="C366" s="1" t="n">
        <v>46051</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55432-2024</t>
        </is>
      </c>
      <c r="B367" s="1" t="n">
        <v>45622</v>
      </c>
      <c r="C367" s="1" t="n">
        <v>46051</v>
      </c>
      <c r="D367" t="inlineStr">
        <is>
          <t>VÄRMLANDS LÄN</t>
        </is>
      </c>
      <c r="E367" t="inlineStr">
        <is>
          <t>ÅRJÄNG</t>
        </is>
      </c>
      <c r="G367" t="n">
        <v>6.9</v>
      </c>
      <c r="H367" t="n">
        <v>0</v>
      </c>
      <c r="I367" t="n">
        <v>0</v>
      </c>
      <c r="J367" t="n">
        <v>0</v>
      </c>
      <c r="K367" t="n">
        <v>0</v>
      </c>
      <c r="L367" t="n">
        <v>0</v>
      </c>
      <c r="M367" t="n">
        <v>0</v>
      </c>
      <c r="N367" t="n">
        <v>0</v>
      </c>
      <c r="O367" t="n">
        <v>0</v>
      </c>
      <c r="P367" t="n">
        <v>0</v>
      </c>
      <c r="Q367" t="n">
        <v>0</v>
      </c>
      <c r="R367" s="2" t="inlineStr"/>
    </row>
    <row r="368" ht="15" customHeight="1">
      <c r="A368" t="inlineStr">
        <is>
          <t>A 24971-2025</t>
        </is>
      </c>
      <c r="B368" s="1" t="n">
        <v>45799</v>
      </c>
      <c r="C368" s="1" t="n">
        <v>46051</v>
      </c>
      <c r="D368" t="inlineStr">
        <is>
          <t>VÄRMLANDS LÄN</t>
        </is>
      </c>
      <c r="E368" t="inlineStr">
        <is>
          <t>ÅRJÄNG</t>
        </is>
      </c>
      <c r="G368" t="n">
        <v>2</v>
      </c>
      <c r="H368" t="n">
        <v>0</v>
      </c>
      <c r="I368" t="n">
        <v>0</v>
      </c>
      <c r="J368" t="n">
        <v>0</v>
      </c>
      <c r="K368" t="n">
        <v>0</v>
      </c>
      <c r="L368" t="n">
        <v>0</v>
      </c>
      <c r="M368" t="n">
        <v>0</v>
      </c>
      <c r="N368" t="n">
        <v>0</v>
      </c>
      <c r="O368" t="n">
        <v>0</v>
      </c>
      <c r="P368" t="n">
        <v>0</v>
      </c>
      <c r="Q368" t="n">
        <v>0</v>
      </c>
      <c r="R368" s="2" t="inlineStr"/>
    </row>
    <row r="369" ht="15" customHeight="1">
      <c r="A369" t="inlineStr">
        <is>
          <t>A 61545-2024</t>
        </is>
      </c>
      <c r="B369" s="1" t="n">
        <v>45646.59966435185</v>
      </c>
      <c r="C369" s="1" t="n">
        <v>46051</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51265-2024</t>
        </is>
      </c>
      <c r="B370" s="1" t="n">
        <v>45602</v>
      </c>
      <c r="C370" s="1" t="n">
        <v>46051</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4865-2024</t>
        </is>
      </c>
      <c r="B371" s="1" t="n">
        <v>45329</v>
      </c>
      <c r="C371" s="1" t="n">
        <v>46051</v>
      </c>
      <c r="D371" t="inlineStr">
        <is>
          <t>VÄRMLANDS LÄN</t>
        </is>
      </c>
      <c r="E371" t="inlineStr">
        <is>
          <t>ÅRJÄNG</t>
        </is>
      </c>
      <c r="G371" t="n">
        <v>0.8</v>
      </c>
      <c r="H371" t="n">
        <v>0</v>
      </c>
      <c r="I371" t="n">
        <v>0</v>
      </c>
      <c r="J371" t="n">
        <v>0</v>
      </c>
      <c r="K371" t="n">
        <v>0</v>
      </c>
      <c r="L371" t="n">
        <v>0</v>
      </c>
      <c r="M371" t="n">
        <v>0</v>
      </c>
      <c r="N371" t="n">
        <v>0</v>
      </c>
      <c r="O371" t="n">
        <v>0</v>
      </c>
      <c r="P371" t="n">
        <v>0</v>
      </c>
      <c r="Q371" t="n">
        <v>0</v>
      </c>
      <c r="R371" s="2" t="inlineStr"/>
    </row>
    <row r="372" ht="15" customHeight="1">
      <c r="A372" t="inlineStr">
        <is>
          <t>A 26783-2024</t>
        </is>
      </c>
      <c r="B372" s="1" t="n">
        <v>45470</v>
      </c>
      <c r="C372" s="1" t="n">
        <v>46051</v>
      </c>
      <c r="D372" t="inlineStr">
        <is>
          <t>VÄRMLANDS LÄN</t>
        </is>
      </c>
      <c r="E372" t="inlineStr">
        <is>
          <t>ÅRJÄNG</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18718-2023</t>
        </is>
      </c>
      <c r="B373" s="1" t="n">
        <v>45043.65459490741</v>
      </c>
      <c r="C373" s="1" t="n">
        <v>46051</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56566-2022</t>
        </is>
      </c>
      <c r="B374" s="1" t="n">
        <v>44893.50795138889</v>
      </c>
      <c r="C374" s="1" t="n">
        <v>46051</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26434-2025</t>
        </is>
      </c>
      <c r="B375" s="1" t="n">
        <v>45807.39797453704</v>
      </c>
      <c r="C375" s="1" t="n">
        <v>46051</v>
      </c>
      <c r="D375" t="inlineStr">
        <is>
          <t>VÄRMLANDS LÄN</t>
        </is>
      </c>
      <c r="E375" t="inlineStr">
        <is>
          <t>ÅRJÄNG</t>
        </is>
      </c>
      <c r="G375" t="n">
        <v>2.2</v>
      </c>
      <c r="H375" t="n">
        <v>0</v>
      </c>
      <c r="I375" t="n">
        <v>0</v>
      </c>
      <c r="J375" t="n">
        <v>0</v>
      </c>
      <c r="K375" t="n">
        <v>0</v>
      </c>
      <c r="L375" t="n">
        <v>0</v>
      </c>
      <c r="M375" t="n">
        <v>0</v>
      </c>
      <c r="N375" t="n">
        <v>0</v>
      </c>
      <c r="O375" t="n">
        <v>0</v>
      </c>
      <c r="P375" t="n">
        <v>0</v>
      </c>
      <c r="Q375" t="n">
        <v>0</v>
      </c>
      <c r="R375" s="2" t="inlineStr"/>
    </row>
    <row r="376" ht="15" customHeight="1">
      <c r="A376" t="inlineStr">
        <is>
          <t>A 39094-2025</t>
        </is>
      </c>
      <c r="B376" s="1" t="n">
        <v>45888.4933912037</v>
      </c>
      <c r="C376" s="1" t="n">
        <v>46051</v>
      </c>
      <c r="D376" t="inlineStr">
        <is>
          <t>VÄRMLANDS LÄN</t>
        </is>
      </c>
      <c r="E376" t="inlineStr">
        <is>
          <t>ÅRJÄNG</t>
        </is>
      </c>
      <c r="G376" t="n">
        <v>0.9</v>
      </c>
      <c r="H376" t="n">
        <v>0</v>
      </c>
      <c r="I376" t="n">
        <v>0</v>
      </c>
      <c r="J376" t="n">
        <v>0</v>
      </c>
      <c r="K376" t="n">
        <v>0</v>
      </c>
      <c r="L376" t="n">
        <v>0</v>
      </c>
      <c r="M376" t="n">
        <v>0</v>
      </c>
      <c r="N376" t="n">
        <v>0</v>
      </c>
      <c r="O376" t="n">
        <v>0</v>
      </c>
      <c r="P376" t="n">
        <v>0</v>
      </c>
      <c r="Q376" t="n">
        <v>0</v>
      </c>
      <c r="R376" s="2" t="inlineStr"/>
    </row>
    <row r="377" ht="15" customHeight="1">
      <c r="A377" t="inlineStr">
        <is>
          <t>A 39096-2025</t>
        </is>
      </c>
      <c r="B377" s="1" t="n">
        <v>45888.50145833333</v>
      </c>
      <c r="C377" s="1" t="n">
        <v>46051</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39079-2025</t>
        </is>
      </c>
      <c r="B378" s="1" t="n">
        <v>45888.48422453704</v>
      </c>
      <c r="C378" s="1" t="n">
        <v>46051</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37347-2024</t>
        </is>
      </c>
      <c r="B379" s="1" t="n">
        <v>45540</v>
      </c>
      <c r="C379" s="1" t="n">
        <v>46051</v>
      </c>
      <c r="D379" t="inlineStr">
        <is>
          <t>VÄRMLANDS LÄN</t>
        </is>
      </c>
      <c r="E379" t="inlineStr">
        <is>
          <t>ÅRJÄNG</t>
        </is>
      </c>
      <c r="G379" t="n">
        <v>1.9</v>
      </c>
      <c r="H379" t="n">
        <v>0</v>
      </c>
      <c r="I379" t="n">
        <v>0</v>
      </c>
      <c r="J379" t="n">
        <v>0</v>
      </c>
      <c r="K379" t="n">
        <v>0</v>
      </c>
      <c r="L379" t="n">
        <v>0</v>
      </c>
      <c r="M379" t="n">
        <v>0</v>
      </c>
      <c r="N379" t="n">
        <v>0</v>
      </c>
      <c r="O379" t="n">
        <v>0</v>
      </c>
      <c r="P379" t="n">
        <v>0</v>
      </c>
      <c r="Q379" t="n">
        <v>0</v>
      </c>
      <c r="R379" s="2" t="inlineStr"/>
    </row>
    <row r="380" ht="15" customHeight="1">
      <c r="A380" t="inlineStr">
        <is>
          <t>A 38867-2025</t>
        </is>
      </c>
      <c r="B380" s="1" t="n">
        <v>45887</v>
      </c>
      <c r="C380" s="1" t="n">
        <v>46051</v>
      </c>
      <c r="D380" t="inlineStr">
        <is>
          <t>VÄRMLANDS LÄN</t>
        </is>
      </c>
      <c r="E380" t="inlineStr">
        <is>
          <t>ÅRJÄNG</t>
        </is>
      </c>
      <c r="G380" t="n">
        <v>5.7</v>
      </c>
      <c r="H380" t="n">
        <v>0</v>
      </c>
      <c r="I380" t="n">
        <v>0</v>
      </c>
      <c r="J380" t="n">
        <v>0</v>
      </c>
      <c r="K380" t="n">
        <v>0</v>
      </c>
      <c r="L380" t="n">
        <v>0</v>
      </c>
      <c r="M380" t="n">
        <v>0</v>
      </c>
      <c r="N380" t="n">
        <v>0</v>
      </c>
      <c r="O380" t="n">
        <v>0</v>
      </c>
      <c r="P380" t="n">
        <v>0</v>
      </c>
      <c r="Q380" t="n">
        <v>0</v>
      </c>
      <c r="R380" s="2" t="inlineStr"/>
    </row>
    <row r="381" ht="15" customHeight="1">
      <c r="A381" t="inlineStr">
        <is>
          <t>A 34172-2024</t>
        </is>
      </c>
      <c r="B381" s="1" t="n">
        <v>45524</v>
      </c>
      <c r="C381" s="1" t="n">
        <v>46051</v>
      </c>
      <c r="D381" t="inlineStr">
        <is>
          <t>VÄRMLANDS LÄN</t>
        </is>
      </c>
      <c r="E381" t="inlineStr">
        <is>
          <t>ÅRJÄNG</t>
        </is>
      </c>
      <c r="G381" t="n">
        <v>0.9</v>
      </c>
      <c r="H381" t="n">
        <v>0</v>
      </c>
      <c r="I381" t="n">
        <v>0</v>
      </c>
      <c r="J381" t="n">
        <v>0</v>
      </c>
      <c r="K381" t="n">
        <v>0</v>
      </c>
      <c r="L381" t="n">
        <v>0</v>
      </c>
      <c r="M381" t="n">
        <v>0</v>
      </c>
      <c r="N381" t="n">
        <v>0</v>
      </c>
      <c r="O381" t="n">
        <v>0</v>
      </c>
      <c r="P381" t="n">
        <v>0</v>
      </c>
      <c r="Q381" t="n">
        <v>0</v>
      </c>
      <c r="R381" s="2" t="inlineStr"/>
    </row>
    <row r="382" ht="15" customHeight="1">
      <c r="A382" t="inlineStr">
        <is>
          <t>A 4137-2025</t>
        </is>
      </c>
      <c r="B382" s="1" t="n">
        <v>45685.35232638889</v>
      </c>
      <c r="C382" s="1" t="n">
        <v>46051</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43517-2024</t>
        </is>
      </c>
      <c r="B383" s="1" t="n">
        <v>45569.32800925926</v>
      </c>
      <c r="C383" s="1" t="n">
        <v>46051</v>
      </c>
      <c r="D383" t="inlineStr">
        <is>
          <t>VÄRMLANDS LÄN</t>
        </is>
      </c>
      <c r="E383" t="inlineStr">
        <is>
          <t>ÅRJÄNG</t>
        </is>
      </c>
      <c r="G383" t="n">
        <v>5.9</v>
      </c>
      <c r="H383" t="n">
        <v>0</v>
      </c>
      <c r="I383" t="n">
        <v>0</v>
      </c>
      <c r="J383" t="n">
        <v>0</v>
      </c>
      <c r="K383" t="n">
        <v>0</v>
      </c>
      <c r="L383" t="n">
        <v>0</v>
      </c>
      <c r="M383" t="n">
        <v>0</v>
      </c>
      <c r="N383" t="n">
        <v>0</v>
      </c>
      <c r="O383" t="n">
        <v>0</v>
      </c>
      <c r="P383" t="n">
        <v>0</v>
      </c>
      <c r="Q383" t="n">
        <v>0</v>
      </c>
      <c r="R383" s="2" t="inlineStr"/>
    </row>
    <row r="384" ht="15" customHeight="1">
      <c r="A384" t="inlineStr">
        <is>
          <t>A 7700-2023</t>
        </is>
      </c>
      <c r="B384" s="1" t="n">
        <v>44967</v>
      </c>
      <c r="C384" s="1" t="n">
        <v>46051</v>
      </c>
      <c r="D384" t="inlineStr">
        <is>
          <t>VÄRMLANDS LÄN</t>
        </is>
      </c>
      <c r="E384" t="inlineStr">
        <is>
          <t>ÅRJÄNG</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15323-2025</t>
        </is>
      </c>
      <c r="B385" s="1" t="n">
        <v>45747.32385416667</v>
      </c>
      <c r="C385" s="1" t="n">
        <v>46051</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38742-2025</t>
        </is>
      </c>
      <c r="B386" s="1" t="n">
        <v>45887.37425925926</v>
      </c>
      <c r="C386" s="1" t="n">
        <v>46051</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37356-2024</t>
        </is>
      </c>
      <c r="B387" s="1" t="n">
        <v>45540</v>
      </c>
      <c r="C387" s="1" t="n">
        <v>46051</v>
      </c>
      <c r="D387" t="inlineStr">
        <is>
          <t>VÄRMLANDS LÄN</t>
        </is>
      </c>
      <c r="E387" t="inlineStr">
        <is>
          <t>ÅRJÄNG</t>
        </is>
      </c>
      <c r="G387" t="n">
        <v>3.4</v>
      </c>
      <c r="H387" t="n">
        <v>0</v>
      </c>
      <c r="I387" t="n">
        <v>0</v>
      </c>
      <c r="J387" t="n">
        <v>0</v>
      </c>
      <c r="K387" t="n">
        <v>0</v>
      </c>
      <c r="L387" t="n">
        <v>0</v>
      </c>
      <c r="M387" t="n">
        <v>0</v>
      </c>
      <c r="N387" t="n">
        <v>0</v>
      </c>
      <c r="O387" t="n">
        <v>0</v>
      </c>
      <c r="P387" t="n">
        <v>0</v>
      </c>
      <c r="Q387" t="n">
        <v>0</v>
      </c>
      <c r="R387" s="2" t="inlineStr"/>
    </row>
    <row r="388" ht="15" customHeight="1">
      <c r="A388" t="inlineStr">
        <is>
          <t>A 60909-2024</t>
        </is>
      </c>
      <c r="B388" s="1" t="n">
        <v>45645</v>
      </c>
      <c r="C388" s="1" t="n">
        <v>46051</v>
      </c>
      <c r="D388" t="inlineStr">
        <is>
          <t>VÄRMLANDS LÄN</t>
        </is>
      </c>
      <c r="E388" t="inlineStr">
        <is>
          <t>ÅRJÄNG</t>
        </is>
      </c>
      <c r="G388" t="n">
        <v>1.1</v>
      </c>
      <c r="H388" t="n">
        <v>0</v>
      </c>
      <c r="I388" t="n">
        <v>0</v>
      </c>
      <c r="J388" t="n">
        <v>0</v>
      </c>
      <c r="K388" t="n">
        <v>0</v>
      </c>
      <c r="L388" t="n">
        <v>0</v>
      </c>
      <c r="M388" t="n">
        <v>0</v>
      </c>
      <c r="N388" t="n">
        <v>0</v>
      </c>
      <c r="O388" t="n">
        <v>0</v>
      </c>
      <c r="P388" t="n">
        <v>0</v>
      </c>
      <c r="Q388" t="n">
        <v>0</v>
      </c>
      <c r="R388" s="2" t="inlineStr"/>
    </row>
    <row r="389" ht="15" customHeight="1">
      <c r="A389" t="inlineStr">
        <is>
          <t>A 8357-2025</t>
        </is>
      </c>
      <c r="B389" s="1" t="n">
        <v>45708.79896990741</v>
      </c>
      <c r="C389" s="1" t="n">
        <v>46051</v>
      </c>
      <c r="D389" t="inlineStr">
        <is>
          <t>VÄRMLANDS LÄN</t>
        </is>
      </c>
      <c r="E389" t="inlineStr">
        <is>
          <t>ÅRJÄNG</t>
        </is>
      </c>
      <c r="G389" t="n">
        <v>3.4</v>
      </c>
      <c r="H389" t="n">
        <v>0</v>
      </c>
      <c r="I389" t="n">
        <v>0</v>
      </c>
      <c r="J389" t="n">
        <v>0</v>
      </c>
      <c r="K389" t="n">
        <v>0</v>
      </c>
      <c r="L389" t="n">
        <v>0</v>
      </c>
      <c r="M389" t="n">
        <v>0</v>
      </c>
      <c r="N389" t="n">
        <v>0</v>
      </c>
      <c r="O389" t="n">
        <v>0</v>
      </c>
      <c r="P389" t="n">
        <v>0</v>
      </c>
      <c r="Q389" t="n">
        <v>0</v>
      </c>
      <c r="R389" s="2" t="inlineStr"/>
    </row>
    <row r="390" ht="15" customHeight="1">
      <c r="A390" t="inlineStr">
        <is>
          <t>A 10321-2025</t>
        </is>
      </c>
      <c r="B390" s="1" t="n">
        <v>45720</v>
      </c>
      <c r="C390" s="1" t="n">
        <v>46051</v>
      </c>
      <c r="D390" t="inlineStr">
        <is>
          <t>VÄRMLANDS LÄN</t>
        </is>
      </c>
      <c r="E390" t="inlineStr">
        <is>
          <t>ÅRJÄNG</t>
        </is>
      </c>
      <c r="G390" t="n">
        <v>3.4</v>
      </c>
      <c r="H390" t="n">
        <v>0</v>
      </c>
      <c r="I390" t="n">
        <v>0</v>
      </c>
      <c r="J390" t="n">
        <v>0</v>
      </c>
      <c r="K390" t="n">
        <v>0</v>
      </c>
      <c r="L390" t="n">
        <v>0</v>
      </c>
      <c r="M390" t="n">
        <v>0</v>
      </c>
      <c r="N390" t="n">
        <v>0</v>
      </c>
      <c r="O390" t="n">
        <v>0</v>
      </c>
      <c r="P390" t="n">
        <v>0</v>
      </c>
      <c r="Q390" t="n">
        <v>0</v>
      </c>
      <c r="R390" s="2" t="inlineStr"/>
    </row>
    <row r="391" ht="15" customHeight="1">
      <c r="A391" t="inlineStr">
        <is>
          <t>A 56348-2024</t>
        </is>
      </c>
      <c r="B391" s="1" t="n">
        <v>45624</v>
      </c>
      <c r="C391" s="1" t="n">
        <v>46051</v>
      </c>
      <c r="D391" t="inlineStr">
        <is>
          <t>VÄRMLANDS LÄN</t>
        </is>
      </c>
      <c r="E391" t="inlineStr">
        <is>
          <t>ÅRJÄNG</t>
        </is>
      </c>
      <c r="G391" t="n">
        <v>1.6</v>
      </c>
      <c r="H391" t="n">
        <v>0</v>
      </c>
      <c r="I391" t="n">
        <v>0</v>
      </c>
      <c r="J391" t="n">
        <v>0</v>
      </c>
      <c r="K391" t="n">
        <v>0</v>
      </c>
      <c r="L391" t="n">
        <v>0</v>
      </c>
      <c r="M391" t="n">
        <v>0</v>
      </c>
      <c r="N391" t="n">
        <v>0</v>
      </c>
      <c r="O391" t="n">
        <v>0</v>
      </c>
      <c r="P391" t="n">
        <v>0</v>
      </c>
      <c r="Q391" t="n">
        <v>0</v>
      </c>
      <c r="R391" s="2" t="inlineStr"/>
    </row>
    <row r="392" ht="15" customHeight="1">
      <c r="A392" t="inlineStr">
        <is>
          <t>A 26998-2025</t>
        </is>
      </c>
      <c r="B392" s="1" t="n">
        <v>45811</v>
      </c>
      <c r="C392" s="1" t="n">
        <v>46051</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26781-2025</t>
        </is>
      </c>
      <c r="B393" s="1" t="n">
        <v>45810.58258101852</v>
      </c>
      <c r="C393" s="1" t="n">
        <v>46051</v>
      </c>
      <c r="D393" t="inlineStr">
        <is>
          <t>VÄRMLANDS LÄN</t>
        </is>
      </c>
      <c r="E393" t="inlineStr">
        <is>
          <t>ÅRJÄNG</t>
        </is>
      </c>
      <c r="G393" t="n">
        <v>4.2</v>
      </c>
      <c r="H393" t="n">
        <v>0</v>
      </c>
      <c r="I393" t="n">
        <v>0</v>
      </c>
      <c r="J393" t="n">
        <v>0</v>
      </c>
      <c r="K393" t="n">
        <v>0</v>
      </c>
      <c r="L393" t="n">
        <v>0</v>
      </c>
      <c r="M393" t="n">
        <v>0</v>
      </c>
      <c r="N393" t="n">
        <v>0</v>
      </c>
      <c r="O393" t="n">
        <v>0</v>
      </c>
      <c r="P393" t="n">
        <v>0</v>
      </c>
      <c r="Q393" t="n">
        <v>0</v>
      </c>
      <c r="R393" s="2" t="inlineStr"/>
    </row>
    <row r="394" ht="15" customHeight="1">
      <c r="A394" t="inlineStr">
        <is>
          <t>A 24964-2025</t>
        </is>
      </c>
      <c r="B394" s="1" t="n">
        <v>45799</v>
      </c>
      <c r="C394" s="1" t="n">
        <v>46051</v>
      </c>
      <c r="D394" t="inlineStr">
        <is>
          <t>VÄRMLANDS LÄN</t>
        </is>
      </c>
      <c r="E394" t="inlineStr">
        <is>
          <t>ÅRJÄNG</t>
        </is>
      </c>
      <c r="G394" t="n">
        <v>1.2</v>
      </c>
      <c r="H394" t="n">
        <v>0</v>
      </c>
      <c r="I394" t="n">
        <v>0</v>
      </c>
      <c r="J394" t="n">
        <v>0</v>
      </c>
      <c r="K394" t="n">
        <v>0</v>
      </c>
      <c r="L394" t="n">
        <v>0</v>
      </c>
      <c r="M394" t="n">
        <v>0</v>
      </c>
      <c r="N394" t="n">
        <v>0</v>
      </c>
      <c r="O394" t="n">
        <v>0</v>
      </c>
      <c r="P394" t="n">
        <v>0</v>
      </c>
      <c r="Q394" t="n">
        <v>0</v>
      </c>
      <c r="R394" s="2" t="inlineStr"/>
    </row>
    <row r="395" ht="15" customHeight="1">
      <c r="A395" t="inlineStr">
        <is>
          <t>A 26959-2025</t>
        </is>
      </c>
      <c r="B395" s="1" t="n">
        <v>45811.45909722222</v>
      </c>
      <c r="C395" s="1" t="n">
        <v>46051</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36862-2025</t>
        </is>
      </c>
      <c r="B396" s="1" t="n">
        <v>45874</v>
      </c>
      <c r="C396" s="1" t="n">
        <v>46051</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9425-2025</t>
        </is>
      </c>
      <c r="B397" s="1" t="n">
        <v>45715.40350694444</v>
      </c>
      <c r="C397" s="1" t="n">
        <v>46051</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27120-2025</t>
        </is>
      </c>
      <c r="B398" s="1" t="n">
        <v>45811.76232638889</v>
      </c>
      <c r="C398" s="1" t="n">
        <v>46051</v>
      </c>
      <c r="D398" t="inlineStr">
        <is>
          <t>VÄRMLANDS LÄN</t>
        </is>
      </c>
      <c r="E398" t="inlineStr">
        <is>
          <t>ÅRJÄNG</t>
        </is>
      </c>
      <c r="G398" t="n">
        <v>4.3</v>
      </c>
      <c r="H398" t="n">
        <v>0</v>
      </c>
      <c r="I398" t="n">
        <v>0</v>
      </c>
      <c r="J398" t="n">
        <v>0</v>
      </c>
      <c r="K398" t="n">
        <v>0</v>
      </c>
      <c r="L398" t="n">
        <v>0</v>
      </c>
      <c r="M398" t="n">
        <v>0</v>
      </c>
      <c r="N398" t="n">
        <v>0</v>
      </c>
      <c r="O398" t="n">
        <v>0</v>
      </c>
      <c r="P398" t="n">
        <v>0</v>
      </c>
      <c r="Q398" t="n">
        <v>0</v>
      </c>
      <c r="R398" s="2" t="inlineStr"/>
    </row>
    <row r="399" ht="15" customHeight="1">
      <c r="A399" t="inlineStr">
        <is>
          <t>A 27247-2025</t>
        </is>
      </c>
      <c r="B399" s="1" t="n">
        <v>45812.46612268518</v>
      </c>
      <c r="C399" s="1" t="n">
        <v>46051</v>
      </c>
      <c r="D399" t="inlineStr">
        <is>
          <t>VÄRMLANDS LÄN</t>
        </is>
      </c>
      <c r="E399" t="inlineStr">
        <is>
          <t>ÅRJÄNG</t>
        </is>
      </c>
      <c r="G399" t="n">
        <v>2.9</v>
      </c>
      <c r="H399" t="n">
        <v>0</v>
      </c>
      <c r="I399" t="n">
        <v>0</v>
      </c>
      <c r="J399" t="n">
        <v>0</v>
      </c>
      <c r="K399" t="n">
        <v>0</v>
      </c>
      <c r="L399" t="n">
        <v>0</v>
      </c>
      <c r="M399" t="n">
        <v>0</v>
      </c>
      <c r="N399" t="n">
        <v>0</v>
      </c>
      <c r="O399" t="n">
        <v>0</v>
      </c>
      <c r="P399" t="n">
        <v>0</v>
      </c>
      <c r="Q399" t="n">
        <v>0</v>
      </c>
      <c r="R399" s="2" t="inlineStr"/>
    </row>
    <row r="400" ht="15" customHeight="1">
      <c r="A400" t="inlineStr">
        <is>
          <t>A 39369-2025</t>
        </is>
      </c>
      <c r="B400" s="1" t="n">
        <v>45889.57848379629</v>
      </c>
      <c r="C400" s="1" t="n">
        <v>46051</v>
      </c>
      <c r="D400" t="inlineStr">
        <is>
          <t>VÄRMLANDS LÄN</t>
        </is>
      </c>
      <c r="E400" t="inlineStr">
        <is>
          <t>ÅRJÄNG</t>
        </is>
      </c>
      <c r="G400" t="n">
        <v>2.6</v>
      </c>
      <c r="H400" t="n">
        <v>0</v>
      </c>
      <c r="I400" t="n">
        <v>0</v>
      </c>
      <c r="J400" t="n">
        <v>0</v>
      </c>
      <c r="K400" t="n">
        <v>0</v>
      </c>
      <c r="L400" t="n">
        <v>0</v>
      </c>
      <c r="M400" t="n">
        <v>0</v>
      </c>
      <c r="N400" t="n">
        <v>0</v>
      </c>
      <c r="O400" t="n">
        <v>0</v>
      </c>
      <c r="P400" t="n">
        <v>0</v>
      </c>
      <c r="Q400" t="n">
        <v>0</v>
      </c>
      <c r="R400" s="2" t="inlineStr"/>
    </row>
    <row r="401" ht="15" customHeight="1">
      <c r="A401" t="inlineStr">
        <is>
          <t>A 39578-2025</t>
        </is>
      </c>
      <c r="B401" s="1" t="n">
        <v>45890.49292824074</v>
      </c>
      <c r="C401" s="1" t="n">
        <v>46051</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68328-2021</t>
        </is>
      </c>
      <c r="B402" s="1" t="n">
        <v>44527.35875</v>
      </c>
      <c r="C402" s="1" t="n">
        <v>46051</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52741-2024</t>
        </is>
      </c>
      <c r="B403" s="1" t="n">
        <v>45610</v>
      </c>
      <c r="C403" s="1" t="n">
        <v>46051</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44934-2024</t>
        </is>
      </c>
      <c r="B404" s="1" t="n">
        <v>45575</v>
      </c>
      <c r="C404" s="1" t="n">
        <v>46051</v>
      </c>
      <c r="D404" t="inlineStr">
        <is>
          <t>VÄRMLANDS LÄN</t>
        </is>
      </c>
      <c r="E404" t="inlineStr">
        <is>
          <t>ÅRJÄNG</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43794-2024</t>
        </is>
      </c>
      <c r="B405" s="1" t="n">
        <v>45571.53519675926</v>
      </c>
      <c r="C405" s="1" t="n">
        <v>46051</v>
      </c>
      <c r="D405" t="inlineStr">
        <is>
          <t>VÄRMLANDS LÄN</t>
        </is>
      </c>
      <c r="E405" t="inlineStr">
        <is>
          <t>ÅRJÄNG</t>
        </is>
      </c>
      <c r="G405" t="n">
        <v>0.6</v>
      </c>
      <c r="H405" t="n">
        <v>0</v>
      </c>
      <c r="I405" t="n">
        <v>0</v>
      </c>
      <c r="J405" t="n">
        <v>0</v>
      </c>
      <c r="K405" t="n">
        <v>0</v>
      </c>
      <c r="L405" t="n">
        <v>0</v>
      </c>
      <c r="M405" t="n">
        <v>0</v>
      </c>
      <c r="N405" t="n">
        <v>0</v>
      </c>
      <c r="O405" t="n">
        <v>0</v>
      </c>
      <c r="P405" t="n">
        <v>0</v>
      </c>
      <c r="Q405" t="n">
        <v>0</v>
      </c>
      <c r="R405" s="2" t="inlineStr"/>
    </row>
    <row r="406" ht="15" customHeight="1">
      <c r="A406" t="inlineStr">
        <is>
          <t>A 33738-2021</t>
        </is>
      </c>
      <c r="B406" s="1" t="n">
        <v>44378.48505787037</v>
      </c>
      <c r="C406" s="1" t="n">
        <v>46051</v>
      </c>
      <c r="D406" t="inlineStr">
        <is>
          <t>VÄRMLANDS LÄN</t>
        </is>
      </c>
      <c r="E406" t="inlineStr">
        <is>
          <t>ÅRJÄNG</t>
        </is>
      </c>
      <c r="G406" t="n">
        <v>1.2</v>
      </c>
      <c r="H406" t="n">
        <v>0</v>
      </c>
      <c r="I406" t="n">
        <v>0</v>
      </c>
      <c r="J406" t="n">
        <v>0</v>
      </c>
      <c r="K406" t="n">
        <v>0</v>
      </c>
      <c r="L406" t="n">
        <v>0</v>
      </c>
      <c r="M406" t="n">
        <v>0</v>
      </c>
      <c r="N406" t="n">
        <v>0</v>
      </c>
      <c r="O406" t="n">
        <v>0</v>
      </c>
      <c r="P406" t="n">
        <v>0</v>
      </c>
      <c r="Q406" t="n">
        <v>0</v>
      </c>
      <c r="R406" s="2" t="inlineStr"/>
    </row>
    <row r="407" ht="15" customHeight="1">
      <c r="A407" t="inlineStr">
        <is>
          <t>A 40232-2025</t>
        </is>
      </c>
      <c r="B407" s="1" t="n">
        <v>45894.7147800926</v>
      </c>
      <c r="C407" s="1" t="n">
        <v>46051</v>
      </c>
      <c r="D407" t="inlineStr">
        <is>
          <t>VÄRMLANDS LÄN</t>
        </is>
      </c>
      <c r="E407" t="inlineStr">
        <is>
          <t>ÅRJÄNG</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38065-2024</t>
        </is>
      </c>
      <c r="B408" s="1" t="n">
        <v>45544.8249537037</v>
      </c>
      <c r="C408" s="1" t="n">
        <v>46051</v>
      </c>
      <c r="D408" t="inlineStr">
        <is>
          <t>VÄRMLANDS LÄN</t>
        </is>
      </c>
      <c r="E408" t="inlineStr">
        <is>
          <t>ÅRJÄNG</t>
        </is>
      </c>
      <c r="G408" t="n">
        <v>1.4</v>
      </c>
      <c r="H408" t="n">
        <v>0</v>
      </c>
      <c r="I408" t="n">
        <v>0</v>
      </c>
      <c r="J408" t="n">
        <v>0</v>
      </c>
      <c r="K408" t="n">
        <v>0</v>
      </c>
      <c r="L408" t="n">
        <v>0</v>
      </c>
      <c r="M408" t="n">
        <v>0</v>
      </c>
      <c r="N408" t="n">
        <v>0</v>
      </c>
      <c r="O408" t="n">
        <v>0</v>
      </c>
      <c r="P408" t="n">
        <v>0</v>
      </c>
      <c r="Q408" t="n">
        <v>0</v>
      </c>
      <c r="R408" s="2" t="inlineStr"/>
    </row>
    <row r="409" ht="15" customHeight="1">
      <c r="A409" t="inlineStr">
        <is>
          <t>A 62720-2023</t>
        </is>
      </c>
      <c r="B409" s="1" t="n">
        <v>45271.5799537037</v>
      </c>
      <c r="C409" s="1" t="n">
        <v>46051</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39781-2025</t>
        </is>
      </c>
      <c r="B410" s="1" t="n">
        <v>45891</v>
      </c>
      <c r="C410" s="1" t="n">
        <v>46051</v>
      </c>
      <c r="D410" t="inlineStr">
        <is>
          <t>VÄRMLANDS LÄN</t>
        </is>
      </c>
      <c r="E410" t="inlineStr">
        <is>
          <t>ÅRJÄNG</t>
        </is>
      </c>
      <c r="G410" t="n">
        <v>2.5</v>
      </c>
      <c r="H410" t="n">
        <v>0</v>
      </c>
      <c r="I410" t="n">
        <v>0</v>
      </c>
      <c r="J410" t="n">
        <v>0</v>
      </c>
      <c r="K410" t="n">
        <v>0</v>
      </c>
      <c r="L410" t="n">
        <v>0</v>
      </c>
      <c r="M410" t="n">
        <v>0</v>
      </c>
      <c r="N410" t="n">
        <v>0</v>
      </c>
      <c r="O410" t="n">
        <v>0</v>
      </c>
      <c r="P410" t="n">
        <v>0</v>
      </c>
      <c r="Q410" t="n">
        <v>0</v>
      </c>
      <c r="R410" s="2" t="inlineStr"/>
    </row>
    <row r="411" ht="15" customHeight="1">
      <c r="A411" t="inlineStr">
        <is>
          <t>A 40219-2025</t>
        </is>
      </c>
      <c r="B411" s="1" t="n">
        <v>45894.69025462963</v>
      </c>
      <c r="C411" s="1" t="n">
        <v>46051</v>
      </c>
      <c r="D411" t="inlineStr">
        <is>
          <t>VÄRMLANDS LÄN</t>
        </is>
      </c>
      <c r="E411" t="inlineStr">
        <is>
          <t>ÅRJÄNG</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9749-2024</t>
        </is>
      </c>
      <c r="B412" s="1" t="n">
        <v>45362</v>
      </c>
      <c r="C412" s="1" t="n">
        <v>46051</v>
      </c>
      <c r="D412" t="inlineStr">
        <is>
          <t>VÄRMLANDS LÄN</t>
        </is>
      </c>
      <c r="E412" t="inlineStr">
        <is>
          <t>ÅRJÄNG</t>
        </is>
      </c>
      <c r="F412" t="inlineStr">
        <is>
          <t>Kyrkan</t>
        </is>
      </c>
      <c r="G412" t="n">
        <v>0.5</v>
      </c>
      <c r="H412" t="n">
        <v>0</v>
      </c>
      <c r="I412" t="n">
        <v>0</v>
      </c>
      <c r="J412" t="n">
        <v>0</v>
      </c>
      <c r="K412" t="n">
        <v>0</v>
      </c>
      <c r="L412" t="n">
        <v>0</v>
      </c>
      <c r="M412" t="n">
        <v>0</v>
      </c>
      <c r="N412" t="n">
        <v>0</v>
      </c>
      <c r="O412" t="n">
        <v>0</v>
      </c>
      <c r="P412" t="n">
        <v>0</v>
      </c>
      <c r="Q412" t="n">
        <v>0</v>
      </c>
      <c r="R412" s="2" t="inlineStr"/>
    </row>
    <row r="413" ht="15" customHeight="1">
      <c r="A413" t="inlineStr">
        <is>
          <t>A 8614-2023</t>
        </is>
      </c>
      <c r="B413" s="1" t="n">
        <v>44977</v>
      </c>
      <c r="C413" s="1" t="n">
        <v>46051</v>
      </c>
      <c r="D413" t="inlineStr">
        <is>
          <t>VÄRMLANDS LÄN</t>
        </is>
      </c>
      <c r="E413" t="inlineStr">
        <is>
          <t>ÅRJÄNG</t>
        </is>
      </c>
      <c r="G413" t="n">
        <v>3.8</v>
      </c>
      <c r="H413" t="n">
        <v>0</v>
      </c>
      <c r="I413" t="n">
        <v>0</v>
      </c>
      <c r="J413" t="n">
        <v>0</v>
      </c>
      <c r="K413" t="n">
        <v>0</v>
      </c>
      <c r="L413" t="n">
        <v>0</v>
      </c>
      <c r="M413" t="n">
        <v>0</v>
      </c>
      <c r="N413" t="n">
        <v>0</v>
      </c>
      <c r="O413" t="n">
        <v>0</v>
      </c>
      <c r="P413" t="n">
        <v>0</v>
      </c>
      <c r="Q413" t="n">
        <v>0</v>
      </c>
      <c r="R413" s="2" t="inlineStr"/>
    </row>
    <row r="414" ht="15" customHeight="1">
      <c r="A414" t="inlineStr">
        <is>
          <t>A 1571-2025</t>
        </is>
      </c>
      <c r="B414" s="1" t="n">
        <v>45670.55496527778</v>
      </c>
      <c r="C414" s="1" t="n">
        <v>46051</v>
      </c>
      <c r="D414" t="inlineStr">
        <is>
          <t>VÄRMLANDS LÄN</t>
        </is>
      </c>
      <c r="E414" t="inlineStr">
        <is>
          <t>ÅRJÄNG</t>
        </is>
      </c>
      <c r="G414" t="n">
        <v>0.9</v>
      </c>
      <c r="H414" t="n">
        <v>0</v>
      </c>
      <c r="I414" t="n">
        <v>0</v>
      </c>
      <c r="J414" t="n">
        <v>0</v>
      </c>
      <c r="K414" t="n">
        <v>0</v>
      </c>
      <c r="L414" t="n">
        <v>0</v>
      </c>
      <c r="M414" t="n">
        <v>0</v>
      </c>
      <c r="N414" t="n">
        <v>0</v>
      </c>
      <c r="O414" t="n">
        <v>0</v>
      </c>
      <c r="P414" t="n">
        <v>0</v>
      </c>
      <c r="Q414" t="n">
        <v>0</v>
      </c>
      <c r="R414" s="2" t="inlineStr"/>
    </row>
    <row r="415" ht="15" customHeight="1">
      <c r="A415" t="inlineStr">
        <is>
          <t>A 39905-2025</t>
        </is>
      </c>
      <c r="B415" s="1" t="n">
        <v>45891.63949074074</v>
      </c>
      <c r="C415" s="1" t="n">
        <v>46051</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40458-2023</t>
        </is>
      </c>
      <c r="B416" s="1" t="n">
        <v>45170.32993055556</v>
      </c>
      <c r="C416" s="1" t="n">
        <v>46051</v>
      </c>
      <c r="D416" t="inlineStr">
        <is>
          <t>VÄRMLANDS LÄN</t>
        </is>
      </c>
      <c r="E416" t="inlineStr">
        <is>
          <t>ÅRJÄNG</t>
        </is>
      </c>
      <c r="G416" t="n">
        <v>17</v>
      </c>
      <c r="H416" t="n">
        <v>0</v>
      </c>
      <c r="I416" t="n">
        <v>0</v>
      </c>
      <c r="J416" t="n">
        <v>0</v>
      </c>
      <c r="K416" t="n">
        <v>0</v>
      </c>
      <c r="L416" t="n">
        <v>0</v>
      </c>
      <c r="M416" t="n">
        <v>0</v>
      </c>
      <c r="N416" t="n">
        <v>0</v>
      </c>
      <c r="O416" t="n">
        <v>0</v>
      </c>
      <c r="P416" t="n">
        <v>0</v>
      </c>
      <c r="Q416" t="n">
        <v>0</v>
      </c>
      <c r="R416" s="2" t="inlineStr"/>
    </row>
    <row r="417" ht="15" customHeight="1">
      <c r="A417" t="inlineStr">
        <is>
          <t>A 39776-2025</t>
        </is>
      </c>
      <c r="B417" s="1" t="n">
        <v>45891</v>
      </c>
      <c r="C417" s="1" t="n">
        <v>46051</v>
      </c>
      <c r="D417" t="inlineStr">
        <is>
          <t>VÄRMLANDS LÄN</t>
        </is>
      </c>
      <c r="E417" t="inlineStr">
        <is>
          <t>ÅRJÄNG</t>
        </is>
      </c>
      <c r="G417" t="n">
        <v>2.7</v>
      </c>
      <c r="H417" t="n">
        <v>0</v>
      </c>
      <c r="I417" t="n">
        <v>0</v>
      </c>
      <c r="J417" t="n">
        <v>0</v>
      </c>
      <c r="K417" t="n">
        <v>0</v>
      </c>
      <c r="L417" t="n">
        <v>0</v>
      </c>
      <c r="M417" t="n">
        <v>0</v>
      </c>
      <c r="N417" t="n">
        <v>0</v>
      </c>
      <c r="O417" t="n">
        <v>0</v>
      </c>
      <c r="P417" t="n">
        <v>0</v>
      </c>
      <c r="Q417" t="n">
        <v>0</v>
      </c>
      <c r="R417" s="2" t="inlineStr"/>
    </row>
    <row r="418" ht="15" customHeight="1">
      <c r="A418" t="inlineStr">
        <is>
          <t>A 39779-2025</t>
        </is>
      </c>
      <c r="B418" s="1" t="n">
        <v>45891</v>
      </c>
      <c r="C418" s="1" t="n">
        <v>46051</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39725-2025</t>
        </is>
      </c>
      <c r="B419" s="1" t="n">
        <v>45891</v>
      </c>
      <c r="C419" s="1" t="n">
        <v>46051</v>
      </c>
      <c r="D419" t="inlineStr">
        <is>
          <t>VÄRMLANDS LÄN</t>
        </is>
      </c>
      <c r="E419" t="inlineStr">
        <is>
          <t>ÅRJÄNG</t>
        </is>
      </c>
      <c r="G419" t="n">
        <v>4.2</v>
      </c>
      <c r="H419" t="n">
        <v>0</v>
      </c>
      <c r="I419" t="n">
        <v>0</v>
      </c>
      <c r="J419" t="n">
        <v>0</v>
      </c>
      <c r="K419" t="n">
        <v>0</v>
      </c>
      <c r="L419" t="n">
        <v>0</v>
      </c>
      <c r="M419" t="n">
        <v>0</v>
      </c>
      <c r="N419" t="n">
        <v>0</v>
      </c>
      <c r="O419" t="n">
        <v>0</v>
      </c>
      <c r="P419" t="n">
        <v>0</v>
      </c>
      <c r="Q419" t="n">
        <v>0</v>
      </c>
      <c r="R419" s="2" t="inlineStr"/>
    </row>
    <row r="420" ht="15" customHeight="1">
      <c r="A420" t="inlineStr">
        <is>
          <t>A 4408-2025</t>
        </is>
      </c>
      <c r="B420" s="1" t="n">
        <v>45686</v>
      </c>
      <c r="C420" s="1" t="n">
        <v>46051</v>
      </c>
      <c r="D420" t="inlineStr">
        <is>
          <t>VÄRMLANDS LÄN</t>
        </is>
      </c>
      <c r="E420" t="inlineStr">
        <is>
          <t>ÅRJÄNG</t>
        </is>
      </c>
      <c r="G420" t="n">
        <v>2</v>
      </c>
      <c r="H420" t="n">
        <v>0</v>
      </c>
      <c r="I420" t="n">
        <v>0</v>
      </c>
      <c r="J420" t="n">
        <v>0</v>
      </c>
      <c r="K420" t="n">
        <v>0</v>
      </c>
      <c r="L420" t="n">
        <v>0</v>
      </c>
      <c r="M420" t="n">
        <v>0</v>
      </c>
      <c r="N420" t="n">
        <v>0</v>
      </c>
      <c r="O420" t="n">
        <v>0</v>
      </c>
      <c r="P420" t="n">
        <v>0</v>
      </c>
      <c r="Q420" t="n">
        <v>0</v>
      </c>
      <c r="R420" s="2" t="inlineStr"/>
    </row>
    <row r="421" ht="15" customHeight="1">
      <c r="A421" t="inlineStr">
        <is>
          <t>A 16010-2024</t>
        </is>
      </c>
      <c r="B421" s="1" t="n">
        <v>45405</v>
      </c>
      <c r="C421" s="1" t="n">
        <v>46051</v>
      </c>
      <c r="D421" t="inlineStr">
        <is>
          <t>VÄRMLANDS LÄN</t>
        </is>
      </c>
      <c r="E421" t="inlineStr">
        <is>
          <t>ÅRJÄNG</t>
        </is>
      </c>
      <c r="G421" t="n">
        <v>4.6</v>
      </c>
      <c r="H421" t="n">
        <v>0</v>
      </c>
      <c r="I421" t="n">
        <v>0</v>
      </c>
      <c r="J421" t="n">
        <v>0</v>
      </c>
      <c r="K421" t="n">
        <v>0</v>
      </c>
      <c r="L421" t="n">
        <v>0</v>
      </c>
      <c r="M421" t="n">
        <v>0</v>
      </c>
      <c r="N421" t="n">
        <v>0</v>
      </c>
      <c r="O421" t="n">
        <v>0</v>
      </c>
      <c r="P421" t="n">
        <v>0</v>
      </c>
      <c r="Q421" t="n">
        <v>0</v>
      </c>
      <c r="R421" s="2" t="inlineStr"/>
    </row>
    <row r="422" ht="15" customHeight="1">
      <c r="A422" t="inlineStr">
        <is>
          <t>A 62966-2023</t>
        </is>
      </c>
      <c r="B422" s="1" t="n">
        <v>45272.57006944445</v>
      </c>
      <c r="C422" s="1" t="n">
        <v>46051</v>
      </c>
      <c r="D422" t="inlineStr">
        <is>
          <t>VÄRMLANDS LÄN</t>
        </is>
      </c>
      <c r="E422" t="inlineStr">
        <is>
          <t>ÅRJÄNG</t>
        </is>
      </c>
      <c r="G422" t="n">
        <v>4.5</v>
      </c>
      <c r="H422" t="n">
        <v>0</v>
      </c>
      <c r="I422" t="n">
        <v>0</v>
      </c>
      <c r="J422" t="n">
        <v>0</v>
      </c>
      <c r="K422" t="n">
        <v>0</v>
      </c>
      <c r="L422" t="n">
        <v>0</v>
      </c>
      <c r="M422" t="n">
        <v>0</v>
      </c>
      <c r="N422" t="n">
        <v>0</v>
      </c>
      <c r="O422" t="n">
        <v>0</v>
      </c>
      <c r="P422" t="n">
        <v>0</v>
      </c>
      <c r="Q422" t="n">
        <v>0</v>
      </c>
      <c r="R422" s="2" t="inlineStr"/>
    </row>
    <row r="423" ht="15" customHeight="1">
      <c r="A423" t="inlineStr">
        <is>
          <t>A 28874-2025</t>
        </is>
      </c>
      <c r="B423" s="1" t="n">
        <v>45820</v>
      </c>
      <c r="C423" s="1" t="n">
        <v>46051</v>
      </c>
      <c r="D423" t="inlineStr">
        <is>
          <t>VÄRMLANDS LÄN</t>
        </is>
      </c>
      <c r="E423" t="inlineStr">
        <is>
          <t>ÅRJÄNG</t>
        </is>
      </c>
      <c r="G423" t="n">
        <v>0.4</v>
      </c>
      <c r="H423" t="n">
        <v>0</v>
      </c>
      <c r="I423" t="n">
        <v>0</v>
      </c>
      <c r="J423" t="n">
        <v>0</v>
      </c>
      <c r="K423" t="n">
        <v>0</v>
      </c>
      <c r="L423" t="n">
        <v>0</v>
      </c>
      <c r="M423" t="n">
        <v>0</v>
      </c>
      <c r="N423" t="n">
        <v>0</v>
      </c>
      <c r="O423" t="n">
        <v>0</v>
      </c>
      <c r="P423" t="n">
        <v>0</v>
      </c>
      <c r="Q423" t="n">
        <v>0</v>
      </c>
      <c r="R423" s="2" t="inlineStr"/>
    </row>
    <row r="424" ht="15" customHeight="1">
      <c r="A424" t="inlineStr">
        <is>
          <t>A 28690-2025</t>
        </is>
      </c>
      <c r="B424" s="1" t="n">
        <v>45819.73236111111</v>
      </c>
      <c r="C424" s="1" t="n">
        <v>46051</v>
      </c>
      <c r="D424" t="inlineStr">
        <is>
          <t>VÄRMLANDS LÄN</t>
        </is>
      </c>
      <c r="E424" t="inlineStr">
        <is>
          <t>ÅRJÄNG</t>
        </is>
      </c>
      <c r="G424" t="n">
        <v>0.7</v>
      </c>
      <c r="H424" t="n">
        <v>0</v>
      </c>
      <c r="I424" t="n">
        <v>0</v>
      </c>
      <c r="J424" t="n">
        <v>0</v>
      </c>
      <c r="K424" t="n">
        <v>0</v>
      </c>
      <c r="L424" t="n">
        <v>0</v>
      </c>
      <c r="M424" t="n">
        <v>0</v>
      </c>
      <c r="N424" t="n">
        <v>0</v>
      </c>
      <c r="O424" t="n">
        <v>0</v>
      </c>
      <c r="P424" t="n">
        <v>0</v>
      </c>
      <c r="Q424" t="n">
        <v>0</v>
      </c>
      <c r="R424" s="2" t="inlineStr"/>
    </row>
    <row r="425" ht="15" customHeight="1">
      <c r="A425" t="inlineStr">
        <is>
          <t>A 28711-2025</t>
        </is>
      </c>
      <c r="B425" s="1" t="n">
        <v>45820.33701388889</v>
      </c>
      <c r="C425" s="1" t="n">
        <v>46051</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1200-2023</t>
        </is>
      </c>
      <c r="B426" s="1" t="n">
        <v>44935</v>
      </c>
      <c r="C426" s="1" t="n">
        <v>46051</v>
      </c>
      <c r="D426" t="inlineStr">
        <is>
          <t>VÄRMLANDS LÄN</t>
        </is>
      </c>
      <c r="E426" t="inlineStr">
        <is>
          <t>ÅRJÄNG</t>
        </is>
      </c>
      <c r="G426" t="n">
        <v>1.5</v>
      </c>
      <c r="H426" t="n">
        <v>0</v>
      </c>
      <c r="I426" t="n">
        <v>0</v>
      </c>
      <c r="J426" t="n">
        <v>0</v>
      </c>
      <c r="K426" t="n">
        <v>0</v>
      </c>
      <c r="L426" t="n">
        <v>0</v>
      </c>
      <c r="M426" t="n">
        <v>0</v>
      </c>
      <c r="N426" t="n">
        <v>0</v>
      </c>
      <c r="O426" t="n">
        <v>0</v>
      </c>
      <c r="P426" t="n">
        <v>0</v>
      </c>
      <c r="Q426" t="n">
        <v>0</v>
      </c>
      <c r="R426" s="2" t="inlineStr"/>
    </row>
    <row r="427" ht="15" customHeight="1">
      <c r="A427" t="inlineStr">
        <is>
          <t>A 40497-2025</t>
        </is>
      </c>
      <c r="B427" s="1" t="n">
        <v>45896.32087962963</v>
      </c>
      <c r="C427" s="1" t="n">
        <v>46051</v>
      </c>
      <c r="D427" t="inlineStr">
        <is>
          <t>VÄRMLANDS LÄN</t>
        </is>
      </c>
      <c r="E427" t="inlineStr">
        <is>
          <t>ÅRJÄNG</t>
        </is>
      </c>
      <c r="G427" t="n">
        <v>1.8</v>
      </c>
      <c r="H427" t="n">
        <v>0</v>
      </c>
      <c r="I427" t="n">
        <v>0</v>
      </c>
      <c r="J427" t="n">
        <v>0</v>
      </c>
      <c r="K427" t="n">
        <v>0</v>
      </c>
      <c r="L427" t="n">
        <v>0</v>
      </c>
      <c r="M427" t="n">
        <v>0</v>
      </c>
      <c r="N427" t="n">
        <v>0</v>
      </c>
      <c r="O427" t="n">
        <v>0</v>
      </c>
      <c r="P427" t="n">
        <v>0</v>
      </c>
      <c r="Q427" t="n">
        <v>0</v>
      </c>
      <c r="R427" s="2" t="inlineStr"/>
    </row>
    <row r="428" ht="15" customHeight="1">
      <c r="A428" t="inlineStr">
        <is>
          <t>A 28797-2025</t>
        </is>
      </c>
      <c r="B428" s="1" t="n">
        <v>45820.48179398148</v>
      </c>
      <c r="C428" s="1" t="n">
        <v>46051</v>
      </c>
      <c r="D428" t="inlineStr">
        <is>
          <t>VÄRMLANDS LÄN</t>
        </is>
      </c>
      <c r="E428" t="inlineStr">
        <is>
          <t>ÅRJÄNG</t>
        </is>
      </c>
      <c r="G428" t="n">
        <v>3</v>
      </c>
      <c r="H428" t="n">
        <v>0</v>
      </c>
      <c r="I428" t="n">
        <v>0</v>
      </c>
      <c r="J428" t="n">
        <v>0</v>
      </c>
      <c r="K428" t="n">
        <v>0</v>
      </c>
      <c r="L428" t="n">
        <v>0</v>
      </c>
      <c r="M428" t="n">
        <v>0</v>
      </c>
      <c r="N428" t="n">
        <v>0</v>
      </c>
      <c r="O428" t="n">
        <v>0</v>
      </c>
      <c r="P428" t="n">
        <v>0</v>
      </c>
      <c r="Q428" t="n">
        <v>0</v>
      </c>
      <c r="R428" s="2" t="inlineStr"/>
    </row>
    <row r="429" ht="15" customHeight="1">
      <c r="A429" t="inlineStr">
        <is>
          <t>A 28793-2025</t>
        </is>
      </c>
      <c r="B429" s="1" t="n">
        <v>45820.47452546296</v>
      </c>
      <c r="C429" s="1" t="n">
        <v>46051</v>
      </c>
      <c r="D429" t="inlineStr">
        <is>
          <t>VÄRMLANDS LÄN</t>
        </is>
      </c>
      <c r="E429" t="inlineStr">
        <is>
          <t>ÅRJÄNG</t>
        </is>
      </c>
      <c r="G429" t="n">
        <v>2.6</v>
      </c>
      <c r="H429" t="n">
        <v>0</v>
      </c>
      <c r="I429" t="n">
        <v>0</v>
      </c>
      <c r="J429" t="n">
        <v>0</v>
      </c>
      <c r="K429" t="n">
        <v>0</v>
      </c>
      <c r="L429" t="n">
        <v>0</v>
      </c>
      <c r="M429" t="n">
        <v>0</v>
      </c>
      <c r="N429" t="n">
        <v>0</v>
      </c>
      <c r="O429" t="n">
        <v>0</v>
      </c>
      <c r="P429" t="n">
        <v>0</v>
      </c>
      <c r="Q429" t="n">
        <v>0</v>
      </c>
      <c r="R429" s="2" t="inlineStr"/>
    </row>
    <row r="430" ht="15" customHeight="1">
      <c r="A430" t="inlineStr">
        <is>
          <t>A 28948-2025</t>
        </is>
      </c>
      <c r="B430" s="1" t="n">
        <v>45820</v>
      </c>
      <c r="C430" s="1" t="n">
        <v>46051</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28949-2025</t>
        </is>
      </c>
      <c r="B431" s="1" t="n">
        <v>45820</v>
      </c>
      <c r="C431" s="1" t="n">
        <v>46051</v>
      </c>
      <c r="D431" t="inlineStr">
        <is>
          <t>VÄRMLANDS LÄN</t>
        </is>
      </c>
      <c r="E431" t="inlineStr">
        <is>
          <t>ÅRJÄNG</t>
        </is>
      </c>
      <c r="G431" t="n">
        <v>0.3</v>
      </c>
      <c r="H431" t="n">
        <v>0</v>
      </c>
      <c r="I431" t="n">
        <v>0</v>
      </c>
      <c r="J431" t="n">
        <v>0</v>
      </c>
      <c r="K431" t="n">
        <v>0</v>
      </c>
      <c r="L431" t="n">
        <v>0</v>
      </c>
      <c r="M431" t="n">
        <v>0</v>
      </c>
      <c r="N431" t="n">
        <v>0</v>
      </c>
      <c r="O431" t="n">
        <v>0</v>
      </c>
      <c r="P431" t="n">
        <v>0</v>
      </c>
      <c r="Q431" t="n">
        <v>0</v>
      </c>
      <c r="R431" s="2" t="inlineStr"/>
    </row>
    <row r="432" ht="15" customHeight="1">
      <c r="A432" t="inlineStr">
        <is>
          <t>A 40449-2025</t>
        </is>
      </c>
      <c r="B432" s="1" t="n">
        <v>45895</v>
      </c>
      <c r="C432" s="1" t="n">
        <v>46051</v>
      </c>
      <c r="D432" t="inlineStr">
        <is>
          <t>VÄRMLANDS LÄN</t>
        </is>
      </c>
      <c r="E432" t="inlineStr">
        <is>
          <t>ÅRJÄNG</t>
        </is>
      </c>
      <c r="G432" t="n">
        <v>2.5</v>
      </c>
      <c r="H432" t="n">
        <v>0</v>
      </c>
      <c r="I432" t="n">
        <v>0</v>
      </c>
      <c r="J432" t="n">
        <v>0</v>
      </c>
      <c r="K432" t="n">
        <v>0</v>
      </c>
      <c r="L432" t="n">
        <v>0</v>
      </c>
      <c r="M432" t="n">
        <v>0</v>
      </c>
      <c r="N432" t="n">
        <v>0</v>
      </c>
      <c r="O432" t="n">
        <v>0</v>
      </c>
      <c r="P432" t="n">
        <v>0</v>
      </c>
      <c r="Q432" t="n">
        <v>0</v>
      </c>
      <c r="R432" s="2" t="inlineStr"/>
    </row>
    <row r="433" ht="15" customHeight="1">
      <c r="A433" t="inlineStr">
        <is>
          <t>A 40602-2025</t>
        </is>
      </c>
      <c r="B433" s="1" t="n">
        <v>45896</v>
      </c>
      <c r="C433" s="1" t="n">
        <v>46051</v>
      </c>
      <c r="D433" t="inlineStr">
        <is>
          <t>VÄRMLANDS LÄN</t>
        </is>
      </c>
      <c r="E433" t="inlineStr">
        <is>
          <t>ÅRJÄNG</t>
        </is>
      </c>
      <c r="G433" t="n">
        <v>1.8</v>
      </c>
      <c r="H433" t="n">
        <v>0</v>
      </c>
      <c r="I433" t="n">
        <v>0</v>
      </c>
      <c r="J433" t="n">
        <v>0</v>
      </c>
      <c r="K433" t="n">
        <v>0</v>
      </c>
      <c r="L433" t="n">
        <v>0</v>
      </c>
      <c r="M433" t="n">
        <v>0</v>
      </c>
      <c r="N433" t="n">
        <v>0</v>
      </c>
      <c r="O433" t="n">
        <v>0</v>
      </c>
      <c r="P433" t="n">
        <v>0</v>
      </c>
      <c r="Q433" t="n">
        <v>0</v>
      </c>
      <c r="R433" s="2" t="inlineStr"/>
    </row>
    <row r="434" ht="15" customHeight="1">
      <c r="A434" t="inlineStr">
        <is>
          <t>A 28710-2025</t>
        </is>
      </c>
      <c r="B434" s="1" t="n">
        <v>45820.32953703704</v>
      </c>
      <c r="C434" s="1" t="n">
        <v>46051</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28554-2025</t>
        </is>
      </c>
      <c r="B435" s="1" t="n">
        <v>45819.53761574074</v>
      </c>
      <c r="C435" s="1" t="n">
        <v>46051</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40601-2025</t>
        </is>
      </c>
      <c r="B436" s="1" t="n">
        <v>45896</v>
      </c>
      <c r="C436" s="1" t="n">
        <v>46051</v>
      </c>
      <c r="D436" t="inlineStr">
        <is>
          <t>VÄRMLANDS LÄN</t>
        </is>
      </c>
      <c r="E436" t="inlineStr">
        <is>
          <t>ÅRJÄNG</t>
        </is>
      </c>
      <c r="G436" t="n">
        <v>2.1</v>
      </c>
      <c r="H436" t="n">
        <v>0</v>
      </c>
      <c r="I436" t="n">
        <v>0</v>
      </c>
      <c r="J436" t="n">
        <v>0</v>
      </c>
      <c r="K436" t="n">
        <v>0</v>
      </c>
      <c r="L436" t="n">
        <v>0</v>
      </c>
      <c r="M436" t="n">
        <v>0</v>
      </c>
      <c r="N436" t="n">
        <v>0</v>
      </c>
      <c r="O436" t="n">
        <v>0</v>
      </c>
      <c r="P436" t="n">
        <v>0</v>
      </c>
      <c r="Q436" t="n">
        <v>0</v>
      </c>
      <c r="R436" s="2" t="inlineStr"/>
    </row>
    <row r="437" ht="15" customHeight="1">
      <c r="A437" t="inlineStr">
        <is>
          <t>A 40628-2024</t>
        </is>
      </c>
      <c r="B437" s="1" t="n">
        <v>45557.61668981481</v>
      </c>
      <c r="C437" s="1" t="n">
        <v>46051</v>
      </c>
      <c r="D437" t="inlineStr">
        <is>
          <t>VÄRMLANDS LÄN</t>
        </is>
      </c>
      <c r="E437" t="inlineStr">
        <is>
          <t>ÅRJÄNG</t>
        </is>
      </c>
      <c r="G437" t="n">
        <v>3.3</v>
      </c>
      <c r="H437" t="n">
        <v>0</v>
      </c>
      <c r="I437" t="n">
        <v>0</v>
      </c>
      <c r="J437" t="n">
        <v>0</v>
      </c>
      <c r="K437" t="n">
        <v>0</v>
      </c>
      <c r="L437" t="n">
        <v>0</v>
      </c>
      <c r="M437" t="n">
        <v>0</v>
      </c>
      <c r="N437" t="n">
        <v>0</v>
      </c>
      <c r="O437" t="n">
        <v>0</v>
      </c>
      <c r="P437" t="n">
        <v>0</v>
      </c>
      <c r="Q437" t="n">
        <v>0</v>
      </c>
      <c r="R437" s="2" t="inlineStr"/>
    </row>
    <row r="438" ht="15" customHeight="1">
      <c r="A438" t="inlineStr">
        <is>
          <t>A 29136-2025</t>
        </is>
      </c>
      <c r="B438" s="1" t="n">
        <v>45821</v>
      </c>
      <c r="C438" s="1" t="n">
        <v>46051</v>
      </c>
      <c r="D438" t="inlineStr">
        <is>
          <t>VÄRMLANDS LÄN</t>
        </is>
      </c>
      <c r="E438" t="inlineStr">
        <is>
          <t>ÅRJÄNG</t>
        </is>
      </c>
      <c r="G438" t="n">
        <v>0.9</v>
      </c>
      <c r="H438" t="n">
        <v>0</v>
      </c>
      <c r="I438" t="n">
        <v>0</v>
      </c>
      <c r="J438" t="n">
        <v>0</v>
      </c>
      <c r="K438" t="n">
        <v>0</v>
      </c>
      <c r="L438" t="n">
        <v>0</v>
      </c>
      <c r="M438" t="n">
        <v>0</v>
      </c>
      <c r="N438" t="n">
        <v>0</v>
      </c>
      <c r="O438" t="n">
        <v>0</v>
      </c>
      <c r="P438" t="n">
        <v>0</v>
      </c>
      <c r="Q438" t="n">
        <v>0</v>
      </c>
      <c r="R438" s="2" t="inlineStr"/>
    </row>
    <row r="439" ht="15" customHeight="1">
      <c r="A439" t="inlineStr">
        <is>
          <t>A 29138-2025</t>
        </is>
      </c>
      <c r="B439" s="1" t="n">
        <v>45821</v>
      </c>
      <c r="C439" s="1" t="n">
        <v>46051</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29146-2025</t>
        </is>
      </c>
      <c r="B440" s="1" t="n">
        <v>45821</v>
      </c>
      <c r="C440" s="1" t="n">
        <v>46051</v>
      </c>
      <c r="D440" t="inlineStr">
        <is>
          <t>VÄRMLANDS LÄN</t>
        </is>
      </c>
      <c r="E440" t="inlineStr">
        <is>
          <t>ÅRJÄNG</t>
        </is>
      </c>
      <c r="G440" t="n">
        <v>1.4</v>
      </c>
      <c r="H440" t="n">
        <v>0</v>
      </c>
      <c r="I440" t="n">
        <v>0</v>
      </c>
      <c r="J440" t="n">
        <v>0</v>
      </c>
      <c r="K440" t="n">
        <v>0</v>
      </c>
      <c r="L440" t="n">
        <v>0</v>
      </c>
      <c r="M440" t="n">
        <v>0</v>
      </c>
      <c r="N440" t="n">
        <v>0</v>
      </c>
      <c r="O440" t="n">
        <v>0</v>
      </c>
      <c r="P440" t="n">
        <v>0</v>
      </c>
      <c r="Q440" t="n">
        <v>0</v>
      </c>
      <c r="R440" s="2" t="inlineStr"/>
    </row>
    <row r="441" ht="15" customHeight="1">
      <c r="A441" t="inlineStr">
        <is>
          <t>A 29007-2025</t>
        </is>
      </c>
      <c r="B441" s="1" t="n">
        <v>45821</v>
      </c>
      <c r="C441" s="1" t="n">
        <v>46051</v>
      </c>
      <c r="D441" t="inlineStr">
        <is>
          <t>VÄRMLANDS LÄN</t>
        </is>
      </c>
      <c r="E441" t="inlineStr">
        <is>
          <t>ÅRJÄNG</t>
        </is>
      </c>
      <c r="F441" t="inlineStr">
        <is>
          <t>Bergvik skog väst AB</t>
        </is>
      </c>
      <c r="G441" t="n">
        <v>6.2</v>
      </c>
      <c r="H441" t="n">
        <v>0</v>
      </c>
      <c r="I441" t="n">
        <v>0</v>
      </c>
      <c r="J441" t="n">
        <v>0</v>
      </c>
      <c r="K441" t="n">
        <v>0</v>
      </c>
      <c r="L441" t="n">
        <v>0</v>
      </c>
      <c r="M441" t="n">
        <v>0</v>
      </c>
      <c r="N441" t="n">
        <v>0</v>
      </c>
      <c r="O441" t="n">
        <v>0</v>
      </c>
      <c r="P441" t="n">
        <v>0</v>
      </c>
      <c r="Q441" t="n">
        <v>0</v>
      </c>
      <c r="R441" s="2" t="inlineStr"/>
    </row>
    <row r="442" ht="15" customHeight="1">
      <c r="A442" t="inlineStr">
        <is>
          <t>A 29026-2025</t>
        </is>
      </c>
      <c r="B442" s="1" t="n">
        <v>45821</v>
      </c>
      <c r="C442" s="1" t="n">
        <v>46051</v>
      </c>
      <c r="D442" t="inlineStr">
        <is>
          <t>VÄRMLANDS LÄN</t>
        </is>
      </c>
      <c r="E442" t="inlineStr">
        <is>
          <t>ÅRJÄNG</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29082-2025</t>
        </is>
      </c>
      <c r="B443" s="1" t="n">
        <v>45821</v>
      </c>
      <c r="C443" s="1" t="n">
        <v>46051</v>
      </c>
      <c r="D443" t="inlineStr">
        <is>
          <t>VÄRMLANDS LÄN</t>
        </is>
      </c>
      <c r="E443" t="inlineStr">
        <is>
          <t>ÅRJÄNG</t>
        </is>
      </c>
      <c r="G443" t="n">
        <v>1.8</v>
      </c>
      <c r="H443" t="n">
        <v>0</v>
      </c>
      <c r="I443" t="n">
        <v>0</v>
      </c>
      <c r="J443" t="n">
        <v>0</v>
      </c>
      <c r="K443" t="n">
        <v>0</v>
      </c>
      <c r="L443" t="n">
        <v>0</v>
      </c>
      <c r="M443" t="n">
        <v>0</v>
      </c>
      <c r="N443" t="n">
        <v>0</v>
      </c>
      <c r="O443" t="n">
        <v>0</v>
      </c>
      <c r="P443" t="n">
        <v>0</v>
      </c>
      <c r="Q443" t="n">
        <v>0</v>
      </c>
      <c r="R443" s="2" t="inlineStr"/>
    </row>
    <row r="444" ht="15" customHeight="1">
      <c r="A444" t="inlineStr">
        <is>
          <t>A 29166-2025</t>
        </is>
      </c>
      <c r="B444" s="1" t="n">
        <v>45821.68682870371</v>
      </c>
      <c r="C444" s="1" t="n">
        <v>46051</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5106-2023</t>
        </is>
      </c>
      <c r="B445" s="1" t="n">
        <v>44953</v>
      </c>
      <c r="C445" s="1" t="n">
        <v>46051</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28992-2025</t>
        </is>
      </c>
      <c r="B446" s="1" t="n">
        <v>45821</v>
      </c>
      <c r="C446" s="1" t="n">
        <v>46051</v>
      </c>
      <c r="D446" t="inlineStr">
        <is>
          <t>VÄRMLANDS LÄN</t>
        </is>
      </c>
      <c r="E446" t="inlineStr">
        <is>
          <t>ÅRJÄNG</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15951-2025</t>
        </is>
      </c>
      <c r="B447" s="1" t="n">
        <v>45749</v>
      </c>
      <c r="C447" s="1" t="n">
        <v>46051</v>
      </c>
      <c r="D447" t="inlineStr">
        <is>
          <t>VÄRMLANDS LÄN</t>
        </is>
      </c>
      <c r="E447" t="inlineStr">
        <is>
          <t>ÅRJÄNG</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14710-2025</t>
        </is>
      </c>
      <c r="B448" s="1" t="n">
        <v>45742.60868055555</v>
      </c>
      <c r="C448" s="1" t="n">
        <v>46051</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29208-2025</t>
        </is>
      </c>
      <c r="B449" s="1" t="n">
        <v>45823.80380787037</v>
      </c>
      <c r="C449" s="1" t="n">
        <v>46051</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15248-2025</t>
        </is>
      </c>
      <c r="B450" s="1" t="n">
        <v>45744</v>
      </c>
      <c r="C450" s="1" t="n">
        <v>46051</v>
      </c>
      <c r="D450" t="inlineStr">
        <is>
          <t>VÄRMLANDS LÄN</t>
        </is>
      </c>
      <c r="E450" t="inlineStr">
        <is>
          <t>ÅRJÄNG</t>
        </is>
      </c>
      <c r="G450" t="n">
        <v>3.2</v>
      </c>
      <c r="H450" t="n">
        <v>0</v>
      </c>
      <c r="I450" t="n">
        <v>0</v>
      </c>
      <c r="J450" t="n">
        <v>0</v>
      </c>
      <c r="K450" t="n">
        <v>0</v>
      </c>
      <c r="L450" t="n">
        <v>0</v>
      </c>
      <c r="M450" t="n">
        <v>0</v>
      </c>
      <c r="N450" t="n">
        <v>0</v>
      </c>
      <c r="O450" t="n">
        <v>0</v>
      </c>
      <c r="P450" t="n">
        <v>0</v>
      </c>
      <c r="Q450" t="n">
        <v>0</v>
      </c>
      <c r="R450" s="2" t="inlineStr"/>
    </row>
    <row r="451" ht="15" customHeight="1">
      <c r="A451" t="inlineStr">
        <is>
          <t>A 41229-2025</t>
        </is>
      </c>
      <c r="B451" s="1" t="n">
        <v>45898.59108796297</v>
      </c>
      <c r="C451" s="1" t="n">
        <v>46051</v>
      </c>
      <c r="D451" t="inlineStr">
        <is>
          <t>VÄRMLANDS LÄN</t>
        </is>
      </c>
      <c r="E451" t="inlineStr">
        <is>
          <t>ÅRJÄNG</t>
        </is>
      </c>
      <c r="G451" t="n">
        <v>2.6</v>
      </c>
      <c r="H451" t="n">
        <v>0</v>
      </c>
      <c r="I451" t="n">
        <v>0</v>
      </c>
      <c r="J451" t="n">
        <v>0</v>
      </c>
      <c r="K451" t="n">
        <v>0</v>
      </c>
      <c r="L451" t="n">
        <v>0</v>
      </c>
      <c r="M451" t="n">
        <v>0</v>
      </c>
      <c r="N451" t="n">
        <v>0</v>
      </c>
      <c r="O451" t="n">
        <v>0</v>
      </c>
      <c r="P451" t="n">
        <v>0</v>
      </c>
      <c r="Q451" t="n">
        <v>0</v>
      </c>
      <c r="R451" s="2" t="inlineStr"/>
    </row>
    <row r="452" ht="15" customHeight="1">
      <c r="A452" t="inlineStr">
        <is>
          <t>A 40699-2025</t>
        </is>
      </c>
      <c r="B452" s="1" t="n">
        <v>45897.31958333333</v>
      </c>
      <c r="C452" s="1" t="n">
        <v>46051</v>
      </c>
      <c r="D452" t="inlineStr">
        <is>
          <t>VÄRMLANDS LÄN</t>
        </is>
      </c>
      <c r="E452" t="inlineStr">
        <is>
          <t>ÅRJÄNG</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29169-2025</t>
        </is>
      </c>
      <c r="B453" s="1" t="n">
        <v>45821.69650462963</v>
      </c>
      <c r="C453" s="1" t="n">
        <v>46051</v>
      </c>
      <c r="D453" t="inlineStr">
        <is>
          <t>VÄRMLANDS LÄN</t>
        </is>
      </c>
      <c r="E453" t="inlineStr">
        <is>
          <t>ÅRJÄNG</t>
        </is>
      </c>
      <c r="G453" t="n">
        <v>3.6</v>
      </c>
      <c r="H453" t="n">
        <v>0</v>
      </c>
      <c r="I453" t="n">
        <v>0</v>
      </c>
      <c r="J453" t="n">
        <v>0</v>
      </c>
      <c r="K453" t="n">
        <v>0</v>
      </c>
      <c r="L453" t="n">
        <v>0</v>
      </c>
      <c r="M453" t="n">
        <v>0</v>
      </c>
      <c r="N453" t="n">
        <v>0</v>
      </c>
      <c r="O453" t="n">
        <v>0</v>
      </c>
      <c r="P453" t="n">
        <v>0</v>
      </c>
      <c r="Q453" t="n">
        <v>0</v>
      </c>
      <c r="R453" s="2" t="inlineStr"/>
    </row>
    <row r="454" ht="15" customHeight="1">
      <c r="A454" t="inlineStr">
        <is>
          <t>A 29100-2025</t>
        </is>
      </c>
      <c r="B454" s="1" t="n">
        <v>45821</v>
      </c>
      <c r="C454" s="1" t="n">
        <v>46051</v>
      </c>
      <c r="D454" t="inlineStr">
        <is>
          <t>VÄRMLANDS LÄN</t>
        </is>
      </c>
      <c r="E454" t="inlineStr">
        <is>
          <t>ÅRJÄNG</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29139-2025</t>
        </is>
      </c>
      <c r="B455" s="1" t="n">
        <v>45821</v>
      </c>
      <c r="C455" s="1" t="n">
        <v>46051</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8818-2022</t>
        </is>
      </c>
      <c r="B456" s="1" t="n">
        <v>44614.45849537037</v>
      </c>
      <c r="C456" s="1" t="n">
        <v>46051</v>
      </c>
      <c r="D456" t="inlineStr">
        <is>
          <t>VÄRMLANDS LÄN</t>
        </is>
      </c>
      <c r="E456" t="inlineStr">
        <is>
          <t>ÅRJÄNG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1929-2025</t>
        </is>
      </c>
      <c r="B457" s="1" t="n">
        <v>45671.73023148148</v>
      </c>
      <c r="C457" s="1" t="n">
        <v>46051</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42233-2024</t>
        </is>
      </c>
      <c r="B458" s="1" t="n">
        <v>45562</v>
      </c>
      <c r="C458" s="1" t="n">
        <v>46051</v>
      </c>
      <c r="D458" t="inlineStr">
        <is>
          <t>VÄRMLANDS LÄN</t>
        </is>
      </c>
      <c r="E458" t="inlineStr">
        <is>
          <t>ÅRJÄNG</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30134-2025</t>
        </is>
      </c>
      <c r="B459" s="1" t="n">
        <v>45826</v>
      </c>
      <c r="C459" s="1" t="n">
        <v>46051</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29783-2025</t>
        </is>
      </c>
      <c r="B460" s="1" t="n">
        <v>45825</v>
      </c>
      <c r="C460" s="1" t="n">
        <v>46051</v>
      </c>
      <c r="D460" t="inlineStr">
        <is>
          <t>VÄRMLANDS LÄN</t>
        </is>
      </c>
      <c r="E460" t="inlineStr">
        <is>
          <t>ÅRJÄNG</t>
        </is>
      </c>
      <c r="G460" t="n">
        <v>3</v>
      </c>
      <c r="H460" t="n">
        <v>0</v>
      </c>
      <c r="I460" t="n">
        <v>0</v>
      </c>
      <c r="J460" t="n">
        <v>0</v>
      </c>
      <c r="K460" t="n">
        <v>0</v>
      </c>
      <c r="L460" t="n">
        <v>0</v>
      </c>
      <c r="M460" t="n">
        <v>0</v>
      </c>
      <c r="N460" t="n">
        <v>0</v>
      </c>
      <c r="O460" t="n">
        <v>0</v>
      </c>
      <c r="P460" t="n">
        <v>0</v>
      </c>
      <c r="Q460" t="n">
        <v>0</v>
      </c>
      <c r="R460" s="2" t="inlineStr"/>
    </row>
    <row r="461" ht="15" customHeight="1">
      <c r="A461" t="inlineStr">
        <is>
          <t>A 34181-2024</t>
        </is>
      </c>
      <c r="B461" s="1" t="n">
        <v>45524</v>
      </c>
      <c r="C461" s="1" t="n">
        <v>46051</v>
      </c>
      <c r="D461" t="inlineStr">
        <is>
          <t>VÄRMLANDS LÄN</t>
        </is>
      </c>
      <c r="E461" t="inlineStr">
        <is>
          <t>ÅRJÄNG</t>
        </is>
      </c>
      <c r="G461" t="n">
        <v>0.8</v>
      </c>
      <c r="H461" t="n">
        <v>0</v>
      </c>
      <c r="I461" t="n">
        <v>0</v>
      </c>
      <c r="J461" t="n">
        <v>0</v>
      </c>
      <c r="K461" t="n">
        <v>0</v>
      </c>
      <c r="L461" t="n">
        <v>0</v>
      </c>
      <c r="M461" t="n">
        <v>0</v>
      </c>
      <c r="N461" t="n">
        <v>0</v>
      </c>
      <c r="O461" t="n">
        <v>0</v>
      </c>
      <c r="P461" t="n">
        <v>0</v>
      </c>
      <c r="Q461" t="n">
        <v>0</v>
      </c>
      <c r="R461" s="2" t="inlineStr"/>
    </row>
    <row r="462" ht="15" customHeight="1">
      <c r="A462" t="inlineStr">
        <is>
          <t>A 34184-2024</t>
        </is>
      </c>
      <c r="B462" s="1" t="n">
        <v>45524</v>
      </c>
      <c r="C462" s="1" t="n">
        <v>46051</v>
      </c>
      <c r="D462" t="inlineStr">
        <is>
          <t>VÄRMLANDS LÄN</t>
        </is>
      </c>
      <c r="E462" t="inlineStr">
        <is>
          <t>ÅRJÄNG</t>
        </is>
      </c>
      <c r="G462" t="n">
        <v>0.6</v>
      </c>
      <c r="H462" t="n">
        <v>0</v>
      </c>
      <c r="I462" t="n">
        <v>0</v>
      </c>
      <c r="J462" t="n">
        <v>0</v>
      </c>
      <c r="K462" t="n">
        <v>0</v>
      </c>
      <c r="L462" t="n">
        <v>0</v>
      </c>
      <c r="M462" t="n">
        <v>0</v>
      </c>
      <c r="N462" t="n">
        <v>0</v>
      </c>
      <c r="O462" t="n">
        <v>0</v>
      </c>
      <c r="P462" t="n">
        <v>0</v>
      </c>
      <c r="Q462" t="n">
        <v>0</v>
      </c>
      <c r="R462" s="2" t="inlineStr"/>
    </row>
    <row r="463" ht="15" customHeight="1">
      <c r="A463" t="inlineStr">
        <is>
          <t>A 29624-2025</t>
        </is>
      </c>
      <c r="B463" s="1" t="n">
        <v>45825.44246527777</v>
      </c>
      <c r="C463" s="1" t="n">
        <v>46051</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424-2025</t>
        </is>
      </c>
      <c r="B464" s="1" t="n">
        <v>45664</v>
      </c>
      <c r="C464" s="1" t="n">
        <v>46051</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17426-2025</t>
        </is>
      </c>
      <c r="B465" s="1" t="n">
        <v>45757.40153935185</v>
      </c>
      <c r="C465" s="1" t="n">
        <v>46051</v>
      </c>
      <c r="D465" t="inlineStr">
        <is>
          <t>VÄRMLANDS LÄN</t>
        </is>
      </c>
      <c r="E465" t="inlineStr">
        <is>
          <t>ÅRJÄNG</t>
        </is>
      </c>
      <c r="G465" t="n">
        <v>1.6</v>
      </c>
      <c r="H465" t="n">
        <v>0</v>
      </c>
      <c r="I465" t="n">
        <v>0</v>
      </c>
      <c r="J465" t="n">
        <v>0</v>
      </c>
      <c r="K465" t="n">
        <v>0</v>
      </c>
      <c r="L465" t="n">
        <v>0</v>
      </c>
      <c r="M465" t="n">
        <v>0</v>
      </c>
      <c r="N465" t="n">
        <v>0</v>
      </c>
      <c r="O465" t="n">
        <v>0</v>
      </c>
      <c r="P465" t="n">
        <v>0</v>
      </c>
      <c r="Q465" t="n">
        <v>0</v>
      </c>
      <c r="R465" s="2" t="inlineStr"/>
    </row>
    <row r="466" ht="15" customHeight="1">
      <c r="A466" t="inlineStr">
        <is>
          <t>A 6559-2025</t>
        </is>
      </c>
      <c r="B466" s="1" t="n">
        <v>45699.73678240741</v>
      </c>
      <c r="C466" s="1" t="n">
        <v>46051</v>
      </c>
      <c r="D466" t="inlineStr">
        <is>
          <t>VÄRMLANDS LÄN</t>
        </is>
      </c>
      <c r="E466" t="inlineStr">
        <is>
          <t>ÅRJÄNG</t>
        </is>
      </c>
      <c r="G466" t="n">
        <v>0.7</v>
      </c>
      <c r="H466" t="n">
        <v>0</v>
      </c>
      <c r="I466" t="n">
        <v>0</v>
      </c>
      <c r="J466" t="n">
        <v>0</v>
      </c>
      <c r="K466" t="n">
        <v>0</v>
      </c>
      <c r="L466" t="n">
        <v>0</v>
      </c>
      <c r="M466" t="n">
        <v>0</v>
      </c>
      <c r="N466" t="n">
        <v>0</v>
      </c>
      <c r="O466" t="n">
        <v>0</v>
      </c>
      <c r="P466" t="n">
        <v>0</v>
      </c>
      <c r="Q466" t="n">
        <v>0</v>
      </c>
      <c r="R466" s="2" t="inlineStr"/>
    </row>
    <row r="467" ht="15" customHeight="1">
      <c r="A467" t="inlineStr">
        <is>
          <t>A 41467-2025</t>
        </is>
      </c>
      <c r="B467" s="1" t="n">
        <v>45901.45755787037</v>
      </c>
      <c r="C467" s="1" t="n">
        <v>46051</v>
      </c>
      <c r="D467" t="inlineStr">
        <is>
          <t>VÄRMLANDS LÄN</t>
        </is>
      </c>
      <c r="E467" t="inlineStr">
        <is>
          <t>ÅRJÄNG</t>
        </is>
      </c>
      <c r="G467" t="n">
        <v>2</v>
      </c>
      <c r="H467" t="n">
        <v>0</v>
      </c>
      <c r="I467" t="n">
        <v>0</v>
      </c>
      <c r="J467" t="n">
        <v>0</v>
      </c>
      <c r="K467" t="n">
        <v>0</v>
      </c>
      <c r="L467" t="n">
        <v>0</v>
      </c>
      <c r="M467" t="n">
        <v>0</v>
      </c>
      <c r="N467" t="n">
        <v>0</v>
      </c>
      <c r="O467" t="n">
        <v>0</v>
      </c>
      <c r="P467" t="n">
        <v>0</v>
      </c>
      <c r="Q467" t="n">
        <v>0</v>
      </c>
      <c r="R467" s="2" t="inlineStr"/>
    </row>
    <row r="468" ht="15" customHeight="1">
      <c r="A468" t="inlineStr">
        <is>
          <t>A 41496-2025</t>
        </is>
      </c>
      <c r="B468" s="1" t="n">
        <v>45901</v>
      </c>
      <c r="C468" s="1" t="n">
        <v>46051</v>
      </c>
      <c r="D468" t="inlineStr">
        <is>
          <t>VÄRMLANDS LÄN</t>
        </is>
      </c>
      <c r="E468" t="inlineStr">
        <is>
          <t>ÅRJÄNG</t>
        </is>
      </c>
      <c r="G468" t="n">
        <v>5.8</v>
      </c>
      <c r="H468" t="n">
        <v>0</v>
      </c>
      <c r="I468" t="n">
        <v>0</v>
      </c>
      <c r="J468" t="n">
        <v>0</v>
      </c>
      <c r="K468" t="n">
        <v>0</v>
      </c>
      <c r="L468" t="n">
        <v>0</v>
      </c>
      <c r="M468" t="n">
        <v>0</v>
      </c>
      <c r="N468" t="n">
        <v>0</v>
      </c>
      <c r="O468" t="n">
        <v>0</v>
      </c>
      <c r="P468" t="n">
        <v>0</v>
      </c>
      <c r="Q468" t="n">
        <v>0</v>
      </c>
      <c r="R468" s="2" t="inlineStr"/>
    </row>
    <row r="469" ht="15" customHeight="1">
      <c r="A469" t="inlineStr">
        <is>
          <t>A 41499-2025</t>
        </is>
      </c>
      <c r="B469" s="1" t="n">
        <v>45901</v>
      </c>
      <c r="C469" s="1" t="n">
        <v>46051</v>
      </c>
      <c r="D469" t="inlineStr">
        <is>
          <t>VÄRMLANDS LÄN</t>
        </is>
      </c>
      <c r="E469" t="inlineStr">
        <is>
          <t>ÅRJÄNG</t>
        </is>
      </c>
      <c r="G469" t="n">
        <v>2.7</v>
      </c>
      <c r="H469" t="n">
        <v>0</v>
      </c>
      <c r="I469" t="n">
        <v>0</v>
      </c>
      <c r="J469" t="n">
        <v>0</v>
      </c>
      <c r="K469" t="n">
        <v>0</v>
      </c>
      <c r="L469" t="n">
        <v>0</v>
      </c>
      <c r="M469" t="n">
        <v>0</v>
      </c>
      <c r="N469" t="n">
        <v>0</v>
      </c>
      <c r="O469" t="n">
        <v>0</v>
      </c>
      <c r="P469" t="n">
        <v>0</v>
      </c>
      <c r="Q469" t="n">
        <v>0</v>
      </c>
      <c r="R469" s="2" t="inlineStr"/>
    </row>
    <row r="470" ht="15" customHeight="1">
      <c r="A470" t="inlineStr">
        <is>
          <t>A 41763-2025</t>
        </is>
      </c>
      <c r="B470" s="1" t="n">
        <v>45902.54175925926</v>
      </c>
      <c r="C470" s="1" t="n">
        <v>46051</v>
      </c>
      <c r="D470" t="inlineStr">
        <is>
          <t>VÄRMLANDS LÄN</t>
        </is>
      </c>
      <c r="E470" t="inlineStr">
        <is>
          <t>ÅRJÄNG</t>
        </is>
      </c>
      <c r="G470" t="n">
        <v>3.4</v>
      </c>
      <c r="H470" t="n">
        <v>0</v>
      </c>
      <c r="I470" t="n">
        <v>0</v>
      </c>
      <c r="J470" t="n">
        <v>0</v>
      </c>
      <c r="K470" t="n">
        <v>0</v>
      </c>
      <c r="L470" t="n">
        <v>0</v>
      </c>
      <c r="M470" t="n">
        <v>0</v>
      </c>
      <c r="N470" t="n">
        <v>0</v>
      </c>
      <c r="O470" t="n">
        <v>0</v>
      </c>
      <c r="P470" t="n">
        <v>0</v>
      </c>
      <c r="Q470" t="n">
        <v>0</v>
      </c>
      <c r="R470" s="2" t="inlineStr"/>
    </row>
    <row r="471" ht="15" customHeight="1">
      <c r="A471" t="inlineStr">
        <is>
          <t>A 41772-2025</t>
        </is>
      </c>
      <c r="B471" s="1" t="n">
        <v>45902.55828703703</v>
      </c>
      <c r="C471" s="1" t="n">
        <v>46051</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41771-2025</t>
        </is>
      </c>
      <c r="B472" s="1" t="n">
        <v>45902.55228009259</v>
      </c>
      <c r="C472" s="1" t="n">
        <v>46051</v>
      </c>
      <c r="D472" t="inlineStr">
        <is>
          <t>VÄRMLANDS LÄN</t>
        </is>
      </c>
      <c r="E472" t="inlineStr">
        <is>
          <t>ÅRJÄNG</t>
        </is>
      </c>
      <c r="G472" t="n">
        <v>1.9</v>
      </c>
      <c r="H472" t="n">
        <v>0</v>
      </c>
      <c r="I472" t="n">
        <v>0</v>
      </c>
      <c r="J472" t="n">
        <v>0</v>
      </c>
      <c r="K472" t="n">
        <v>0</v>
      </c>
      <c r="L472" t="n">
        <v>0</v>
      </c>
      <c r="M472" t="n">
        <v>0</v>
      </c>
      <c r="N472" t="n">
        <v>0</v>
      </c>
      <c r="O472" t="n">
        <v>0</v>
      </c>
      <c r="P472" t="n">
        <v>0</v>
      </c>
      <c r="Q472" t="n">
        <v>0</v>
      </c>
      <c r="R472" s="2" t="inlineStr"/>
    </row>
    <row r="473" ht="15" customHeight="1">
      <c r="A473" t="inlineStr">
        <is>
          <t>A 46957-2024</t>
        </is>
      </c>
      <c r="B473" s="1" t="n">
        <v>45586</v>
      </c>
      <c r="C473" s="1" t="n">
        <v>46051</v>
      </c>
      <c r="D473" t="inlineStr">
        <is>
          <t>VÄRMLANDS LÄN</t>
        </is>
      </c>
      <c r="E473" t="inlineStr">
        <is>
          <t>ÅRJÄNG</t>
        </is>
      </c>
      <c r="G473" t="n">
        <v>3.1</v>
      </c>
      <c r="H473" t="n">
        <v>0</v>
      </c>
      <c r="I473" t="n">
        <v>0</v>
      </c>
      <c r="J473" t="n">
        <v>0</v>
      </c>
      <c r="K473" t="n">
        <v>0</v>
      </c>
      <c r="L473" t="n">
        <v>0</v>
      </c>
      <c r="M473" t="n">
        <v>0</v>
      </c>
      <c r="N473" t="n">
        <v>0</v>
      </c>
      <c r="O473" t="n">
        <v>0</v>
      </c>
      <c r="P473" t="n">
        <v>0</v>
      </c>
      <c r="Q473" t="n">
        <v>0</v>
      </c>
      <c r="R473" s="2" t="inlineStr"/>
    </row>
    <row r="474" ht="15" customHeight="1">
      <c r="A474" t="inlineStr">
        <is>
          <t>A 13196-2023</t>
        </is>
      </c>
      <c r="B474" s="1" t="n">
        <v>45002</v>
      </c>
      <c r="C474" s="1" t="n">
        <v>46051</v>
      </c>
      <c r="D474" t="inlineStr">
        <is>
          <t>VÄRMLANDS LÄN</t>
        </is>
      </c>
      <c r="E474" t="inlineStr">
        <is>
          <t>ÅRJÄNG</t>
        </is>
      </c>
      <c r="F474" t="inlineStr">
        <is>
          <t>Kyrkan</t>
        </is>
      </c>
      <c r="G474" t="n">
        <v>4.5</v>
      </c>
      <c r="H474" t="n">
        <v>0</v>
      </c>
      <c r="I474" t="n">
        <v>0</v>
      </c>
      <c r="J474" t="n">
        <v>0</v>
      </c>
      <c r="K474" t="n">
        <v>0</v>
      </c>
      <c r="L474" t="n">
        <v>0</v>
      </c>
      <c r="M474" t="n">
        <v>0</v>
      </c>
      <c r="N474" t="n">
        <v>0</v>
      </c>
      <c r="O474" t="n">
        <v>0</v>
      </c>
      <c r="P474" t="n">
        <v>0</v>
      </c>
      <c r="Q474" t="n">
        <v>0</v>
      </c>
      <c r="R474" s="2" t="inlineStr"/>
    </row>
    <row r="475" ht="15" customHeight="1">
      <c r="A475" t="inlineStr">
        <is>
          <t>A 41488-2025</t>
        </is>
      </c>
      <c r="B475" s="1" t="n">
        <v>45901.48288194444</v>
      </c>
      <c r="C475" s="1" t="n">
        <v>46051</v>
      </c>
      <c r="D475" t="inlineStr">
        <is>
          <t>VÄRMLANDS LÄN</t>
        </is>
      </c>
      <c r="E475" t="inlineStr">
        <is>
          <t>ÅRJÄNG</t>
        </is>
      </c>
      <c r="G475" t="n">
        <v>0.8</v>
      </c>
      <c r="H475" t="n">
        <v>0</v>
      </c>
      <c r="I475" t="n">
        <v>0</v>
      </c>
      <c r="J475" t="n">
        <v>0</v>
      </c>
      <c r="K475" t="n">
        <v>0</v>
      </c>
      <c r="L475" t="n">
        <v>0</v>
      </c>
      <c r="M475" t="n">
        <v>0</v>
      </c>
      <c r="N475" t="n">
        <v>0</v>
      </c>
      <c r="O475" t="n">
        <v>0</v>
      </c>
      <c r="P475" t="n">
        <v>0</v>
      </c>
      <c r="Q475" t="n">
        <v>0</v>
      </c>
      <c r="R475" s="2" t="inlineStr"/>
    </row>
    <row r="476" ht="15" customHeight="1">
      <c r="A476" t="inlineStr">
        <is>
          <t>A 31111-2025</t>
        </is>
      </c>
      <c r="B476" s="1" t="n">
        <v>45831</v>
      </c>
      <c r="C476" s="1" t="n">
        <v>46051</v>
      </c>
      <c r="D476" t="inlineStr">
        <is>
          <t>VÄRMLANDS LÄN</t>
        </is>
      </c>
      <c r="E476" t="inlineStr">
        <is>
          <t>ÅRJÄNG</t>
        </is>
      </c>
      <c r="G476" t="n">
        <v>6</v>
      </c>
      <c r="H476" t="n">
        <v>0</v>
      </c>
      <c r="I476" t="n">
        <v>0</v>
      </c>
      <c r="J476" t="n">
        <v>0</v>
      </c>
      <c r="K476" t="n">
        <v>0</v>
      </c>
      <c r="L476" t="n">
        <v>0</v>
      </c>
      <c r="M476" t="n">
        <v>0</v>
      </c>
      <c r="N476" t="n">
        <v>0</v>
      </c>
      <c r="O476" t="n">
        <v>0</v>
      </c>
      <c r="P476" t="n">
        <v>0</v>
      </c>
      <c r="Q476" t="n">
        <v>0</v>
      </c>
      <c r="R476" s="2" t="inlineStr"/>
    </row>
    <row r="477" ht="15" customHeight="1">
      <c r="A477" t="inlineStr">
        <is>
          <t>A 16613-2022</t>
        </is>
      </c>
      <c r="B477" s="1" t="n">
        <v>44672</v>
      </c>
      <c r="C477" s="1" t="n">
        <v>46051</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30761-2025</t>
        </is>
      </c>
      <c r="B478" s="1" t="n">
        <v>45831</v>
      </c>
      <c r="C478" s="1" t="n">
        <v>46051</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30579-2025</t>
        </is>
      </c>
      <c r="B479" s="1" t="n">
        <v>45831.41965277777</v>
      </c>
      <c r="C479" s="1" t="n">
        <v>46051</v>
      </c>
      <c r="D479" t="inlineStr">
        <is>
          <t>VÄRMLANDS LÄN</t>
        </is>
      </c>
      <c r="E479" t="inlineStr">
        <is>
          <t>ÅRJÄNG</t>
        </is>
      </c>
      <c r="G479" t="n">
        <v>2.4</v>
      </c>
      <c r="H479" t="n">
        <v>0</v>
      </c>
      <c r="I479" t="n">
        <v>0</v>
      </c>
      <c r="J479" t="n">
        <v>0</v>
      </c>
      <c r="K479" t="n">
        <v>0</v>
      </c>
      <c r="L479" t="n">
        <v>0</v>
      </c>
      <c r="M479" t="n">
        <v>0</v>
      </c>
      <c r="N479" t="n">
        <v>0</v>
      </c>
      <c r="O479" t="n">
        <v>0</v>
      </c>
      <c r="P479" t="n">
        <v>0</v>
      </c>
      <c r="Q479" t="n">
        <v>0</v>
      </c>
      <c r="R479" s="2" t="inlineStr"/>
    </row>
    <row r="480" ht="15" customHeight="1">
      <c r="A480" t="inlineStr">
        <is>
          <t>A 41725-2025</t>
        </is>
      </c>
      <c r="B480" s="1" t="n">
        <v>45902.45458333333</v>
      </c>
      <c r="C480" s="1" t="n">
        <v>46051</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30611-2025</t>
        </is>
      </c>
      <c r="B481" s="1" t="n">
        <v>45831.46104166667</v>
      </c>
      <c r="C481" s="1" t="n">
        <v>46051</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30658-2025</t>
        </is>
      </c>
      <c r="B482" s="1" t="n">
        <v>45831.5072337963</v>
      </c>
      <c r="C482" s="1" t="n">
        <v>46051</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31063-2025</t>
        </is>
      </c>
      <c r="B483" s="1" t="n">
        <v>45831</v>
      </c>
      <c r="C483" s="1" t="n">
        <v>46051</v>
      </c>
      <c r="D483" t="inlineStr">
        <is>
          <t>VÄRMLANDS LÄN</t>
        </is>
      </c>
      <c r="E483" t="inlineStr">
        <is>
          <t>ÅRJÄNG</t>
        </is>
      </c>
      <c r="G483" t="n">
        <v>0.6</v>
      </c>
      <c r="H483" t="n">
        <v>0</v>
      </c>
      <c r="I483" t="n">
        <v>0</v>
      </c>
      <c r="J483" t="n">
        <v>0</v>
      </c>
      <c r="K483" t="n">
        <v>0</v>
      </c>
      <c r="L483" t="n">
        <v>0</v>
      </c>
      <c r="M483" t="n">
        <v>0</v>
      </c>
      <c r="N483" t="n">
        <v>0</v>
      </c>
      <c r="O483" t="n">
        <v>0</v>
      </c>
      <c r="P483" t="n">
        <v>0</v>
      </c>
      <c r="Q483" t="n">
        <v>0</v>
      </c>
      <c r="R483" s="2" t="inlineStr"/>
    </row>
    <row r="484" ht="15" customHeight="1">
      <c r="A484" t="inlineStr">
        <is>
          <t>A 31073-2025</t>
        </is>
      </c>
      <c r="B484" s="1" t="n">
        <v>45831</v>
      </c>
      <c r="C484" s="1" t="n">
        <v>46051</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42333-2025</t>
        </is>
      </c>
      <c r="B485" s="1" t="n">
        <v>45904</v>
      </c>
      <c r="C485" s="1" t="n">
        <v>46051</v>
      </c>
      <c r="D485" t="inlineStr">
        <is>
          <t>VÄRMLANDS LÄN</t>
        </is>
      </c>
      <c r="E485" t="inlineStr">
        <is>
          <t>ÅRJÄNG</t>
        </is>
      </c>
      <c r="G485" t="n">
        <v>3.8</v>
      </c>
      <c r="H485" t="n">
        <v>0</v>
      </c>
      <c r="I485" t="n">
        <v>0</v>
      </c>
      <c r="J485" t="n">
        <v>0</v>
      </c>
      <c r="K485" t="n">
        <v>0</v>
      </c>
      <c r="L485" t="n">
        <v>0</v>
      </c>
      <c r="M485" t="n">
        <v>0</v>
      </c>
      <c r="N485" t="n">
        <v>0</v>
      </c>
      <c r="O485" t="n">
        <v>0</v>
      </c>
      <c r="P485" t="n">
        <v>0</v>
      </c>
      <c r="Q485" t="n">
        <v>0</v>
      </c>
      <c r="R485" s="2" t="inlineStr"/>
    </row>
    <row r="486" ht="15" customHeight="1">
      <c r="A486" t="inlineStr">
        <is>
          <t>A 34387-2023</t>
        </is>
      </c>
      <c r="B486" s="1" t="n">
        <v>45139.50744212963</v>
      </c>
      <c r="C486" s="1" t="n">
        <v>46051</v>
      </c>
      <c r="D486" t="inlineStr">
        <is>
          <t>VÄRMLANDS LÄN</t>
        </is>
      </c>
      <c r="E486" t="inlineStr">
        <is>
          <t>ÅRJÄNG</t>
        </is>
      </c>
      <c r="G486" t="n">
        <v>2.6</v>
      </c>
      <c r="H486" t="n">
        <v>0</v>
      </c>
      <c r="I486" t="n">
        <v>0</v>
      </c>
      <c r="J486" t="n">
        <v>0</v>
      </c>
      <c r="K486" t="n">
        <v>0</v>
      </c>
      <c r="L486" t="n">
        <v>0</v>
      </c>
      <c r="M486" t="n">
        <v>0</v>
      </c>
      <c r="N486" t="n">
        <v>0</v>
      </c>
      <c r="O486" t="n">
        <v>0</v>
      </c>
      <c r="P486" t="n">
        <v>0</v>
      </c>
      <c r="Q486" t="n">
        <v>0</v>
      </c>
      <c r="R486" s="2" t="inlineStr"/>
    </row>
    <row r="487" ht="15" customHeight="1">
      <c r="A487" t="inlineStr">
        <is>
          <t>A 30604-2025</t>
        </is>
      </c>
      <c r="B487" s="1" t="n">
        <v>45831.45185185185</v>
      </c>
      <c r="C487" s="1" t="n">
        <v>46051</v>
      </c>
      <c r="D487" t="inlineStr">
        <is>
          <t>VÄRMLANDS LÄN</t>
        </is>
      </c>
      <c r="E487" t="inlineStr">
        <is>
          <t>ÅRJÄNG</t>
        </is>
      </c>
      <c r="G487" t="n">
        <v>6.5</v>
      </c>
      <c r="H487" t="n">
        <v>0</v>
      </c>
      <c r="I487" t="n">
        <v>0</v>
      </c>
      <c r="J487" t="n">
        <v>0</v>
      </c>
      <c r="K487" t="n">
        <v>0</v>
      </c>
      <c r="L487" t="n">
        <v>0</v>
      </c>
      <c r="M487" t="n">
        <v>0</v>
      </c>
      <c r="N487" t="n">
        <v>0</v>
      </c>
      <c r="O487" t="n">
        <v>0</v>
      </c>
      <c r="P487" t="n">
        <v>0</v>
      </c>
      <c r="Q487" t="n">
        <v>0</v>
      </c>
      <c r="R487" s="2" t="inlineStr"/>
    </row>
    <row r="488" ht="15" customHeight="1">
      <c r="A488" t="inlineStr">
        <is>
          <t>A 6577-2025</t>
        </is>
      </c>
      <c r="B488" s="1" t="n">
        <v>45699.87793981482</v>
      </c>
      <c r="C488" s="1" t="n">
        <v>46051</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31282-2025</t>
        </is>
      </c>
      <c r="B489" s="1" t="n">
        <v>45833</v>
      </c>
      <c r="C489" s="1" t="n">
        <v>46051</v>
      </c>
      <c r="D489" t="inlineStr">
        <is>
          <t>VÄRMLANDS LÄN</t>
        </is>
      </c>
      <c r="E489" t="inlineStr">
        <is>
          <t>ÅRJÄNG</t>
        </is>
      </c>
      <c r="F489" t="inlineStr">
        <is>
          <t>Bergvik skog väst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31710-2025</t>
        </is>
      </c>
      <c r="B490" s="1" t="n">
        <v>45834.4325462963</v>
      </c>
      <c r="C490" s="1" t="n">
        <v>46051</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31591-2025</t>
        </is>
      </c>
      <c r="B491" s="1" t="n">
        <v>45833</v>
      </c>
      <c r="C491" s="1" t="n">
        <v>46051</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31433-2025</t>
        </is>
      </c>
      <c r="B492" s="1" t="n">
        <v>45833</v>
      </c>
      <c r="C492" s="1" t="n">
        <v>46051</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42677-2025</t>
        </is>
      </c>
      <c r="B493" s="1" t="n">
        <v>45908.32836805555</v>
      </c>
      <c r="C493" s="1" t="n">
        <v>46051</v>
      </c>
      <c r="D493" t="inlineStr">
        <is>
          <t>VÄRMLANDS LÄN</t>
        </is>
      </c>
      <c r="E493" t="inlineStr">
        <is>
          <t>ÅRJÄNG</t>
        </is>
      </c>
      <c r="G493" t="n">
        <v>2.7</v>
      </c>
      <c r="H493" t="n">
        <v>0</v>
      </c>
      <c r="I493" t="n">
        <v>0</v>
      </c>
      <c r="J493" t="n">
        <v>0</v>
      </c>
      <c r="K493" t="n">
        <v>0</v>
      </c>
      <c r="L493" t="n">
        <v>0</v>
      </c>
      <c r="M493" t="n">
        <v>0</v>
      </c>
      <c r="N493" t="n">
        <v>0</v>
      </c>
      <c r="O493" t="n">
        <v>0</v>
      </c>
      <c r="P493" t="n">
        <v>0</v>
      </c>
      <c r="Q493" t="n">
        <v>0</v>
      </c>
      <c r="R493" s="2" t="inlineStr"/>
    </row>
    <row r="494" ht="15" customHeight="1">
      <c r="A494" t="inlineStr">
        <is>
          <t>A 31393-2025</t>
        </is>
      </c>
      <c r="B494" s="1" t="n">
        <v>45833.46305555556</v>
      </c>
      <c r="C494" s="1" t="n">
        <v>46051</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13029-2025</t>
        </is>
      </c>
      <c r="B495" s="1" t="n">
        <v>45734.5703125</v>
      </c>
      <c r="C495" s="1" t="n">
        <v>46051</v>
      </c>
      <c r="D495" t="inlineStr">
        <is>
          <t>VÄRMLANDS LÄN</t>
        </is>
      </c>
      <c r="E495" t="inlineStr">
        <is>
          <t>ÅRJÄNG</t>
        </is>
      </c>
      <c r="G495" t="n">
        <v>4.1</v>
      </c>
      <c r="H495" t="n">
        <v>0</v>
      </c>
      <c r="I495" t="n">
        <v>0</v>
      </c>
      <c r="J495" t="n">
        <v>0</v>
      </c>
      <c r="K495" t="n">
        <v>0</v>
      </c>
      <c r="L495" t="n">
        <v>0</v>
      </c>
      <c r="M495" t="n">
        <v>0</v>
      </c>
      <c r="N495" t="n">
        <v>0</v>
      </c>
      <c r="O495" t="n">
        <v>0</v>
      </c>
      <c r="P495" t="n">
        <v>0</v>
      </c>
      <c r="Q495" t="n">
        <v>0</v>
      </c>
      <c r="R495" s="2" t="inlineStr"/>
    </row>
    <row r="496" ht="15" customHeight="1">
      <c r="A496" t="inlineStr">
        <is>
          <t>A 42562-2025</t>
        </is>
      </c>
      <c r="B496" s="1" t="n">
        <v>45905.59986111111</v>
      </c>
      <c r="C496" s="1" t="n">
        <v>46051</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32321-2025</t>
        </is>
      </c>
      <c r="B497" s="1" t="n">
        <v>45836</v>
      </c>
      <c r="C497" s="1" t="n">
        <v>46051</v>
      </c>
      <c r="D497" t="inlineStr">
        <is>
          <t>VÄRMLANDS LÄN</t>
        </is>
      </c>
      <c r="E497" t="inlineStr">
        <is>
          <t>ÅRJÄNG</t>
        </is>
      </c>
      <c r="G497" t="n">
        <v>2.4</v>
      </c>
      <c r="H497" t="n">
        <v>0</v>
      </c>
      <c r="I497" t="n">
        <v>0</v>
      </c>
      <c r="J497" t="n">
        <v>0</v>
      </c>
      <c r="K497" t="n">
        <v>0</v>
      </c>
      <c r="L497" t="n">
        <v>0</v>
      </c>
      <c r="M497" t="n">
        <v>0</v>
      </c>
      <c r="N497" t="n">
        <v>0</v>
      </c>
      <c r="O497" t="n">
        <v>0</v>
      </c>
      <c r="P497" t="n">
        <v>0</v>
      </c>
      <c r="Q497" t="n">
        <v>0</v>
      </c>
      <c r="R497" s="2" t="inlineStr"/>
    </row>
    <row r="498" ht="15" customHeight="1">
      <c r="A498" t="inlineStr">
        <is>
          <t>A 32330-2025</t>
        </is>
      </c>
      <c r="B498" s="1" t="n">
        <v>45836.50547453704</v>
      </c>
      <c r="C498" s="1" t="n">
        <v>46051</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38057-2024</t>
        </is>
      </c>
      <c r="B499" s="1" t="n">
        <v>45544.73293981481</v>
      </c>
      <c r="C499" s="1" t="n">
        <v>46051</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32324-2025</t>
        </is>
      </c>
      <c r="B500" s="1" t="n">
        <v>45836.43634259259</v>
      </c>
      <c r="C500" s="1" t="n">
        <v>46051</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43012-2025</t>
        </is>
      </c>
      <c r="B501" s="1" t="n">
        <v>45909.48989583334</v>
      </c>
      <c r="C501" s="1" t="n">
        <v>46051</v>
      </c>
      <c r="D501" t="inlineStr">
        <is>
          <t>VÄRMLANDS LÄN</t>
        </is>
      </c>
      <c r="E501" t="inlineStr">
        <is>
          <t>ÅRJÄNG</t>
        </is>
      </c>
      <c r="G501" t="n">
        <v>3.1</v>
      </c>
      <c r="H501" t="n">
        <v>0</v>
      </c>
      <c r="I501" t="n">
        <v>0</v>
      </c>
      <c r="J501" t="n">
        <v>0</v>
      </c>
      <c r="K501" t="n">
        <v>0</v>
      </c>
      <c r="L501" t="n">
        <v>0</v>
      </c>
      <c r="M501" t="n">
        <v>0</v>
      </c>
      <c r="N501" t="n">
        <v>0</v>
      </c>
      <c r="O501" t="n">
        <v>0</v>
      </c>
      <c r="P501" t="n">
        <v>0</v>
      </c>
      <c r="Q501" t="n">
        <v>0</v>
      </c>
      <c r="R501" s="2" t="inlineStr"/>
    </row>
    <row r="502" ht="15" customHeight="1">
      <c r="A502" t="inlineStr">
        <is>
          <t>A 42971-2025</t>
        </is>
      </c>
      <c r="B502" s="1" t="n">
        <v>45909.41502314815</v>
      </c>
      <c r="C502" s="1" t="n">
        <v>46051</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43162-2025</t>
        </is>
      </c>
      <c r="B503" s="1" t="n">
        <v>45910</v>
      </c>
      <c r="C503" s="1" t="n">
        <v>46051</v>
      </c>
      <c r="D503" t="inlineStr">
        <is>
          <t>VÄRMLANDS LÄN</t>
        </is>
      </c>
      <c r="E503" t="inlineStr">
        <is>
          <t>ÅRJÄNG</t>
        </is>
      </c>
      <c r="F503" t="inlineStr">
        <is>
          <t>Bergvik skog väst AB</t>
        </is>
      </c>
      <c r="G503" t="n">
        <v>12.9</v>
      </c>
      <c r="H503" t="n">
        <v>0</v>
      </c>
      <c r="I503" t="n">
        <v>0</v>
      </c>
      <c r="J503" t="n">
        <v>0</v>
      </c>
      <c r="K503" t="n">
        <v>0</v>
      </c>
      <c r="L503" t="n">
        <v>0</v>
      </c>
      <c r="M503" t="n">
        <v>0</v>
      </c>
      <c r="N503" t="n">
        <v>0</v>
      </c>
      <c r="O503" t="n">
        <v>0</v>
      </c>
      <c r="P503" t="n">
        <v>0</v>
      </c>
      <c r="Q503" t="n">
        <v>0</v>
      </c>
      <c r="R503" s="2" t="inlineStr"/>
    </row>
    <row r="504" ht="15" customHeight="1">
      <c r="A504" t="inlineStr">
        <is>
          <t>A 59068-2024</t>
        </is>
      </c>
      <c r="B504" s="1" t="n">
        <v>45636.95376157408</v>
      </c>
      <c r="C504" s="1" t="n">
        <v>46051</v>
      </c>
      <c r="D504" t="inlineStr">
        <is>
          <t>VÄRMLANDS LÄN</t>
        </is>
      </c>
      <c r="E504" t="inlineStr">
        <is>
          <t>ÅRJÄNG</t>
        </is>
      </c>
      <c r="G504" t="n">
        <v>3.2</v>
      </c>
      <c r="H504" t="n">
        <v>0</v>
      </c>
      <c r="I504" t="n">
        <v>0</v>
      </c>
      <c r="J504" t="n">
        <v>0</v>
      </c>
      <c r="K504" t="n">
        <v>0</v>
      </c>
      <c r="L504" t="n">
        <v>0</v>
      </c>
      <c r="M504" t="n">
        <v>0</v>
      </c>
      <c r="N504" t="n">
        <v>0</v>
      </c>
      <c r="O504" t="n">
        <v>0</v>
      </c>
      <c r="P504" t="n">
        <v>0</v>
      </c>
      <c r="Q504" t="n">
        <v>0</v>
      </c>
      <c r="R504" s="2" t="inlineStr"/>
    </row>
    <row r="505" ht="15" customHeight="1">
      <c r="A505" t="inlineStr">
        <is>
          <t>A 43025-2025</t>
        </is>
      </c>
      <c r="B505" s="1" t="n">
        <v>45909.53126157408</v>
      </c>
      <c r="C505" s="1" t="n">
        <v>46051</v>
      </c>
      <c r="D505" t="inlineStr">
        <is>
          <t>VÄRMLANDS LÄN</t>
        </is>
      </c>
      <c r="E505" t="inlineStr">
        <is>
          <t>ÅRJÄNG</t>
        </is>
      </c>
      <c r="G505" t="n">
        <v>3.8</v>
      </c>
      <c r="H505" t="n">
        <v>0</v>
      </c>
      <c r="I505" t="n">
        <v>0</v>
      </c>
      <c r="J505" t="n">
        <v>0</v>
      </c>
      <c r="K505" t="n">
        <v>0</v>
      </c>
      <c r="L505" t="n">
        <v>0</v>
      </c>
      <c r="M505" t="n">
        <v>0</v>
      </c>
      <c r="N505" t="n">
        <v>0</v>
      </c>
      <c r="O505" t="n">
        <v>0</v>
      </c>
      <c r="P505" t="n">
        <v>0</v>
      </c>
      <c r="Q505" t="n">
        <v>0</v>
      </c>
      <c r="R505" s="2" t="inlineStr"/>
    </row>
    <row r="506" ht="15" customHeight="1">
      <c r="A506" t="inlineStr">
        <is>
          <t>A 43047-2025</t>
        </is>
      </c>
      <c r="B506" s="1" t="n">
        <v>45909.56127314815</v>
      </c>
      <c r="C506" s="1" t="n">
        <v>46051</v>
      </c>
      <c r="D506" t="inlineStr">
        <is>
          <t>VÄRMLANDS LÄN</t>
        </is>
      </c>
      <c r="E506" t="inlineStr">
        <is>
          <t>ÅRJÄNG</t>
        </is>
      </c>
      <c r="G506" t="n">
        <v>6.3</v>
      </c>
      <c r="H506" t="n">
        <v>0</v>
      </c>
      <c r="I506" t="n">
        <v>0</v>
      </c>
      <c r="J506" t="n">
        <v>0</v>
      </c>
      <c r="K506" t="n">
        <v>0</v>
      </c>
      <c r="L506" t="n">
        <v>0</v>
      </c>
      <c r="M506" t="n">
        <v>0</v>
      </c>
      <c r="N506" t="n">
        <v>0</v>
      </c>
      <c r="O506" t="n">
        <v>0</v>
      </c>
      <c r="P506" t="n">
        <v>0</v>
      </c>
      <c r="Q506" t="n">
        <v>0</v>
      </c>
      <c r="R506" s="2" t="inlineStr"/>
    </row>
    <row r="507" ht="15" customHeight="1">
      <c r="A507" t="inlineStr">
        <is>
          <t>A 32326-2025</t>
        </is>
      </c>
      <c r="B507" s="1" t="n">
        <v>45836.44392361111</v>
      </c>
      <c r="C507" s="1" t="n">
        <v>46051</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43050-2025</t>
        </is>
      </c>
      <c r="B508" s="1" t="n">
        <v>45909.56809027777</v>
      </c>
      <c r="C508" s="1" t="n">
        <v>46051</v>
      </c>
      <c r="D508" t="inlineStr">
        <is>
          <t>VÄRMLANDS LÄN</t>
        </is>
      </c>
      <c r="E508" t="inlineStr">
        <is>
          <t>ÅRJÄNG</t>
        </is>
      </c>
      <c r="G508" t="n">
        <v>4.8</v>
      </c>
      <c r="H508" t="n">
        <v>0</v>
      </c>
      <c r="I508" t="n">
        <v>0</v>
      </c>
      <c r="J508" t="n">
        <v>0</v>
      </c>
      <c r="K508" t="n">
        <v>0</v>
      </c>
      <c r="L508" t="n">
        <v>0</v>
      </c>
      <c r="M508" t="n">
        <v>0</v>
      </c>
      <c r="N508" t="n">
        <v>0</v>
      </c>
      <c r="O508" t="n">
        <v>0</v>
      </c>
      <c r="P508" t="n">
        <v>0</v>
      </c>
      <c r="Q508" t="n">
        <v>0</v>
      </c>
      <c r="R508" s="2" t="inlineStr"/>
    </row>
    <row r="509" ht="15" customHeight="1">
      <c r="A509" t="inlineStr">
        <is>
          <t>A 61868-2024</t>
        </is>
      </c>
      <c r="B509" s="1" t="n">
        <v>45651.47393518518</v>
      </c>
      <c r="C509" s="1" t="n">
        <v>46051</v>
      </c>
      <c r="D509" t="inlineStr">
        <is>
          <t>VÄRMLANDS LÄN</t>
        </is>
      </c>
      <c r="E509" t="inlineStr">
        <is>
          <t>ÅRJÄNG</t>
        </is>
      </c>
      <c r="G509" t="n">
        <v>0.8</v>
      </c>
      <c r="H509" t="n">
        <v>0</v>
      </c>
      <c r="I509" t="n">
        <v>0</v>
      </c>
      <c r="J509" t="n">
        <v>0</v>
      </c>
      <c r="K509" t="n">
        <v>0</v>
      </c>
      <c r="L509" t="n">
        <v>0</v>
      </c>
      <c r="M509" t="n">
        <v>0</v>
      </c>
      <c r="N509" t="n">
        <v>0</v>
      </c>
      <c r="O509" t="n">
        <v>0</v>
      </c>
      <c r="P509" t="n">
        <v>0</v>
      </c>
      <c r="Q509" t="n">
        <v>0</v>
      </c>
      <c r="R509" s="2" t="inlineStr"/>
    </row>
    <row r="510" ht="15" customHeight="1">
      <c r="A510" t="inlineStr">
        <is>
          <t>A 32920-2025</t>
        </is>
      </c>
      <c r="B510" s="1" t="n">
        <v>45839</v>
      </c>
      <c r="C510" s="1" t="n">
        <v>46051</v>
      </c>
      <c r="D510" t="inlineStr">
        <is>
          <t>VÄRMLANDS LÄN</t>
        </is>
      </c>
      <c r="E510" t="inlineStr">
        <is>
          <t>ÅRJÄNG</t>
        </is>
      </c>
      <c r="G510" t="n">
        <v>4.8</v>
      </c>
      <c r="H510" t="n">
        <v>0</v>
      </c>
      <c r="I510" t="n">
        <v>0</v>
      </c>
      <c r="J510" t="n">
        <v>0</v>
      </c>
      <c r="K510" t="n">
        <v>0</v>
      </c>
      <c r="L510" t="n">
        <v>0</v>
      </c>
      <c r="M510" t="n">
        <v>0</v>
      </c>
      <c r="N510" t="n">
        <v>0</v>
      </c>
      <c r="O510" t="n">
        <v>0</v>
      </c>
      <c r="P510" t="n">
        <v>0</v>
      </c>
      <c r="Q510" t="n">
        <v>0</v>
      </c>
      <c r="R510" s="2" t="inlineStr"/>
    </row>
    <row r="511" ht="15" customHeight="1">
      <c r="A511" t="inlineStr">
        <is>
          <t>A 43426-2025</t>
        </is>
      </c>
      <c r="B511" s="1" t="n">
        <v>45911.41869212963</v>
      </c>
      <c r="C511" s="1" t="n">
        <v>46051</v>
      </c>
      <c r="D511" t="inlineStr">
        <is>
          <t>VÄRMLANDS LÄN</t>
        </is>
      </c>
      <c r="E511" t="inlineStr">
        <is>
          <t>ÅRJÄNG</t>
        </is>
      </c>
      <c r="G511" t="n">
        <v>1.4</v>
      </c>
      <c r="H511" t="n">
        <v>0</v>
      </c>
      <c r="I511" t="n">
        <v>0</v>
      </c>
      <c r="J511" t="n">
        <v>0</v>
      </c>
      <c r="K511" t="n">
        <v>0</v>
      </c>
      <c r="L511" t="n">
        <v>0</v>
      </c>
      <c r="M511" t="n">
        <v>0</v>
      </c>
      <c r="N511" t="n">
        <v>0</v>
      </c>
      <c r="O511" t="n">
        <v>0</v>
      </c>
      <c r="P511" t="n">
        <v>0</v>
      </c>
      <c r="Q511" t="n">
        <v>0</v>
      </c>
      <c r="R511" s="2" t="inlineStr"/>
    </row>
    <row r="512" ht="15" customHeight="1">
      <c r="A512" t="inlineStr">
        <is>
          <t>A 32730-2025</t>
        </is>
      </c>
      <c r="B512" s="1" t="n">
        <v>45839.40315972222</v>
      </c>
      <c r="C512" s="1" t="n">
        <v>46051</v>
      </c>
      <c r="D512" t="inlineStr">
        <is>
          <t>VÄRMLANDS LÄN</t>
        </is>
      </c>
      <c r="E512" t="inlineStr">
        <is>
          <t>ÅRJÄNG</t>
        </is>
      </c>
      <c r="F512" t="inlineStr">
        <is>
          <t>Kyrkan</t>
        </is>
      </c>
      <c r="G512" t="n">
        <v>5.9</v>
      </c>
      <c r="H512" t="n">
        <v>0</v>
      </c>
      <c r="I512" t="n">
        <v>0</v>
      </c>
      <c r="J512" t="n">
        <v>0</v>
      </c>
      <c r="K512" t="n">
        <v>0</v>
      </c>
      <c r="L512" t="n">
        <v>0</v>
      </c>
      <c r="M512" t="n">
        <v>0</v>
      </c>
      <c r="N512" t="n">
        <v>0</v>
      </c>
      <c r="O512" t="n">
        <v>0</v>
      </c>
      <c r="P512" t="n">
        <v>0</v>
      </c>
      <c r="Q512" t="n">
        <v>0</v>
      </c>
      <c r="R512" s="2" t="inlineStr"/>
    </row>
    <row r="513" ht="15" customHeight="1">
      <c r="A513" t="inlineStr">
        <is>
          <t>A 43484-2025</t>
        </is>
      </c>
      <c r="B513" s="1" t="n">
        <v>45911.5033912037</v>
      </c>
      <c r="C513" s="1" t="n">
        <v>46051</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57142-2024</t>
        </is>
      </c>
      <c r="B514" s="1" t="n">
        <v>45628</v>
      </c>
      <c r="C514" s="1" t="n">
        <v>46051</v>
      </c>
      <c r="D514" t="inlineStr">
        <is>
          <t>VÄRMLANDS LÄN</t>
        </is>
      </c>
      <c r="E514" t="inlineStr">
        <is>
          <t>ÅRJÄNG</t>
        </is>
      </c>
      <c r="G514" t="n">
        <v>5.4</v>
      </c>
      <c r="H514" t="n">
        <v>0</v>
      </c>
      <c r="I514" t="n">
        <v>0</v>
      </c>
      <c r="J514" t="n">
        <v>0</v>
      </c>
      <c r="K514" t="n">
        <v>0</v>
      </c>
      <c r="L514" t="n">
        <v>0</v>
      </c>
      <c r="M514" t="n">
        <v>0</v>
      </c>
      <c r="N514" t="n">
        <v>0</v>
      </c>
      <c r="O514" t="n">
        <v>0</v>
      </c>
      <c r="P514" t="n">
        <v>0</v>
      </c>
      <c r="Q514" t="n">
        <v>0</v>
      </c>
      <c r="R514" s="2" t="inlineStr"/>
    </row>
    <row r="515" ht="15" customHeight="1">
      <c r="A515" t="inlineStr">
        <is>
          <t>A 3492-2024</t>
        </is>
      </c>
      <c r="B515" s="1" t="n">
        <v>45317</v>
      </c>
      <c r="C515" s="1" t="n">
        <v>46051</v>
      </c>
      <c r="D515" t="inlineStr">
        <is>
          <t>VÄRMLANDS LÄN</t>
        </is>
      </c>
      <c r="E515" t="inlineStr">
        <is>
          <t>ÅRJÄNG</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33237-2025</t>
        </is>
      </c>
      <c r="B516" s="1" t="n">
        <v>45840</v>
      </c>
      <c r="C516" s="1" t="n">
        <v>46051</v>
      </c>
      <c r="D516" t="inlineStr">
        <is>
          <t>VÄRMLANDS LÄN</t>
        </is>
      </c>
      <c r="E516" t="inlineStr">
        <is>
          <t>ÅRJÄNG</t>
        </is>
      </c>
      <c r="G516" t="n">
        <v>5.2</v>
      </c>
      <c r="H516" t="n">
        <v>0</v>
      </c>
      <c r="I516" t="n">
        <v>0</v>
      </c>
      <c r="J516" t="n">
        <v>0</v>
      </c>
      <c r="K516" t="n">
        <v>0</v>
      </c>
      <c r="L516" t="n">
        <v>0</v>
      </c>
      <c r="M516" t="n">
        <v>0</v>
      </c>
      <c r="N516" t="n">
        <v>0</v>
      </c>
      <c r="O516" t="n">
        <v>0</v>
      </c>
      <c r="P516" t="n">
        <v>0</v>
      </c>
      <c r="Q516" t="n">
        <v>0</v>
      </c>
      <c r="R516" s="2" t="inlineStr"/>
    </row>
    <row r="517" ht="15" customHeight="1">
      <c r="A517" t="inlineStr">
        <is>
          <t>A 32924-2025</t>
        </is>
      </c>
      <c r="B517" s="1" t="n">
        <v>45839.65589120371</v>
      </c>
      <c r="C517" s="1" t="n">
        <v>46051</v>
      </c>
      <c r="D517" t="inlineStr">
        <is>
          <t>VÄRMLANDS LÄN</t>
        </is>
      </c>
      <c r="E517" t="inlineStr">
        <is>
          <t>ÅRJÄNG</t>
        </is>
      </c>
      <c r="G517" t="n">
        <v>4.5</v>
      </c>
      <c r="H517" t="n">
        <v>0</v>
      </c>
      <c r="I517" t="n">
        <v>0</v>
      </c>
      <c r="J517" t="n">
        <v>0</v>
      </c>
      <c r="K517" t="n">
        <v>0</v>
      </c>
      <c r="L517" t="n">
        <v>0</v>
      </c>
      <c r="M517" t="n">
        <v>0</v>
      </c>
      <c r="N517" t="n">
        <v>0</v>
      </c>
      <c r="O517" t="n">
        <v>0</v>
      </c>
      <c r="P517" t="n">
        <v>0</v>
      </c>
      <c r="Q517" t="n">
        <v>0</v>
      </c>
      <c r="R517" s="2" t="inlineStr"/>
    </row>
    <row r="518" ht="15" customHeight="1">
      <c r="A518" t="inlineStr">
        <is>
          <t>A 43434-2025</t>
        </is>
      </c>
      <c r="B518" s="1" t="n">
        <v>45911.42743055556</v>
      </c>
      <c r="C518" s="1" t="n">
        <v>46051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40349-2024</t>
        </is>
      </c>
      <c r="B519" s="1" t="n">
        <v>45555.35849537037</v>
      </c>
      <c r="C519" s="1" t="n">
        <v>46051</v>
      </c>
      <c r="D519" t="inlineStr">
        <is>
          <t>VÄRMLANDS LÄN</t>
        </is>
      </c>
      <c r="E519" t="inlineStr">
        <is>
          <t>ÅRJÄNG</t>
        </is>
      </c>
      <c r="G519" t="n">
        <v>0.6</v>
      </c>
      <c r="H519" t="n">
        <v>0</v>
      </c>
      <c r="I519" t="n">
        <v>0</v>
      </c>
      <c r="J519" t="n">
        <v>0</v>
      </c>
      <c r="K519" t="n">
        <v>0</v>
      </c>
      <c r="L519" t="n">
        <v>0</v>
      </c>
      <c r="M519" t="n">
        <v>0</v>
      </c>
      <c r="N519" t="n">
        <v>0</v>
      </c>
      <c r="O519" t="n">
        <v>0</v>
      </c>
      <c r="P519" t="n">
        <v>0</v>
      </c>
      <c r="Q519" t="n">
        <v>0</v>
      </c>
      <c r="R519" s="2" t="inlineStr"/>
    </row>
    <row r="520" ht="15" customHeight="1">
      <c r="A520" t="inlineStr">
        <is>
          <t>A 33412-2025</t>
        </is>
      </c>
      <c r="B520" s="1" t="n">
        <v>45841</v>
      </c>
      <c r="C520" s="1" t="n">
        <v>46051</v>
      </c>
      <c r="D520" t="inlineStr">
        <is>
          <t>VÄRMLANDS LÄN</t>
        </is>
      </c>
      <c r="E520" t="inlineStr">
        <is>
          <t>ÅRJÄNG</t>
        </is>
      </c>
      <c r="G520" t="n">
        <v>4.1</v>
      </c>
      <c r="H520" t="n">
        <v>0</v>
      </c>
      <c r="I520" t="n">
        <v>0</v>
      </c>
      <c r="J520" t="n">
        <v>0</v>
      </c>
      <c r="K520" t="n">
        <v>0</v>
      </c>
      <c r="L520" t="n">
        <v>0</v>
      </c>
      <c r="M520" t="n">
        <v>0</v>
      </c>
      <c r="N520" t="n">
        <v>0</v>
      </c>
      <c r="O520" t="n">
        <v>0</v>
      </c>
      <c r="P520" t="n">
        <v>0</v>
      </c>
      <c r="Q520" t="n">
        <v>0</v>
      </c>
      <c r="R520" s="2" t="inlineStr"/>
    </row>
    <row r="521" ht="15" customHeight="1">
      <c r="A521" t="inlineStr">
        <is>
          <t>A 44300-2025</t>
        </is>
      </c>
      <c r="B521" s="1" t="n">
        <v>45916.3702662037</v>
      </c>
      <c r="C521" s="1" t="n">
        <v>46051</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33526-2025</t>
        </is>
      </c>
      <c r="B522" s="1" t="n">
        <v>45841.54869212963</v>
      </c>
      <c r="C522" s="1" t="n">
        <v>46051</v>
      </c>
      <c r="D522" t="inlineStr">
        <is>
          <t>VÄRMLANDS LÄN</t>
        </is>
      </c>
      <c r="E522" t="inlineStr">
        <is>
          <t>ÅRJÄNG</t>
        </is>
      </c>
      <c r="G522" t="n">
        <v>0.7</v>
      </c>
      <c r="H522" t="n">
        <v>0</v>
      </c>
      <c r="I522" t="n">
        <v>0</v>
      </c>
      <c r="J522" t="n">
        <v>0</v>
      </c>
      <c r="K522" t="n">
        <v>0</v>
      </c>
      <c r="L522" t="n">
        <v>0</v>
      </c>
      <c r="M522" t="n">
        <v>0</v>
      </c>
      <c r="N522" t="n">
        <v>0</v>
      </c>
      <c r="O522" t="n">
        <v>0</v>
      </c>
      <c r="P522" t="n">
        <v>0</v>
      </c>
      <c r="Q522" t="n">
        <v>0</v>
      </c>
      <c r="R522" s="2" t="inlineStr"/>
    </row>
    <row r="523" ht="15" customHeight="1">
      <c r="A523" t="inlineStr">
        <is>
          <t>A 33600-2025</t>
        </is>
      </c>
      <c r="B523" s="1" t="n">
        <v>45841.60918981482</v>
      </c>
      <c r="C523" s="1" t="n">
        <v>46051</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44452-2025</t>
        </is>
      </c>
      <c r="B524" s="1" t="n">
        <v>45916</v>
      </c>
      <c r="C524" s="1" t="n">
        <v>46051</v>
      </c>
      <c r="D524" t="inlineStr">
        <is>
          <t>VÄRMLANDS LÄN</t>
        </is>
      </c>
      <c r="E524" t="inlineStr">
        <is>
          <t>ÅRJÄNG</t>
        </is>
      </c>
      <c r="G524" t="n">
        <v>3.1</v>
      </c>
      <c r="H524" t="n">
        <v>0</v>
      </c>
      <c r="I524" t="n">
        <v>0</v>
      </c>
      <c r="J524" t="n">
        <v>0</v>
      </c>
      <c r="K524" t="n">
        <v>0</v>
      </c>
      <c r="L524" t="n">
        <v>0</v>
      </c>
      <c r="M524" t="n">
        <v>0</v>
      </c>
      <c r="N524" t="n">
        <v>0</v>
      </c>
      <c r="O524" t="n">
        <v>0</v>
      </c>
      <c r="P524" t="n">
        <v>0</v>
      </c>
      <c r="Q524" t="n">
        <v>0</v>
      </c>
      <c r="R524" s="2" t="inlineStr"/>
    </row>
    <row r="525" ht="15" customHeight="1">
      <c r="A525" t="inlineStr">
        <is>
          <t>A 33481-2025</t>
        </is>
      </c>
      <c r="B525" s="1" t="n">
        <v>45841</v>
      </c>
      <c r="C525" s="1" t="n">
        <v>46051</v>
      </c>
      <c r="D525" t="inlineStr">
        <is>
          <t>VÄRMLANDS LÄN</t>
        </is>
      </c>
      <c r="E525" t="inlineStr">
        <is>
          <t>ÅRJÄNG</t>
        </is>
      </c>
      <c r="G525" t="n">
        <v>10.3</v>
      </c>
      <c r="H525" t="n">
        <v>0</v>
      </c>
      <c r="I525" t="n">
        <v>0</v>
      </c>
      <c r="J525" t="n">
        <v>0</v>
      </c>
      <c r="K525" t="n">
        <v>0</v>
      </c>
      <c r="L525" t="n">
        <v>0</v>
      </c>
      <c r="M525" t="n">
        <v>0</v>
      </c>
      <c r="N525" t="n">
        <v>0</v>
      </c>
      <c r="O525" t="n">
        <v>0</v>
      </c>
      <c r="P525" t="n">
        <v>0</v>
      </c>
      <c r="Q525" t="n">
        <v>0</v>
      </c>
      <c r="R525" s="2" t="inlineStr"/>
    </row>
    <row r="526" ht="15" customHeight="1">
      <c r="A526" t="inlineStr">
        <is>
          <t>A 33832-2025</t>
        </is>
      </c>
      <c r="B526" s="1" t="n">
        <v>45842.47506944444</v>
      </c>
      <c r="C526" s="1" t="n">
        <v>46051</v>
      </c>
      <c r="D526" t="inlineStr">
        <is>
          <t>VÄRMLANDS LÄN</t>
        </is>
      </c>
      <c r="E526" t="inlineStr">
        <is>
          <t>ÅRJÄNG</t>
        </is>
      </c>
      <c r="G526" t="n">
        <v>2</v>
      </c>
      <c r="H526" t="n">
        <v>0</v>
      </c>
      <c r="I526" t="n">
        <v>0</v>
      </c>
      <c r="J526" t="n">
        <v>0</v>
      </c>
      <c r="K526" t="n">
        <v>0</v>
      </c>
      <c r="L526" t="n">
        <v>0</v>
      </c>
      <c r="M526" t="n">
        <v>0</v>
      </c>
      <c r="N526" t="n">
        <v>0</v>
      </c>
      <c r="O526" t="n">
        <v>0</v>
      </c>
      <c r="P526" t="n">
        <v>0</v>
      </c>
      <c r="Q526" t="n">
        <v>0</v>
      </c>
      <c r="R526" s="2" t="inlineStr"/>
    </row>
    <row r="527" ht="15" customHeight="1">
      <c r="A527" t="inlineStr">
        <is>
          <t>A 37191-2023</t>
        </is>
      </c>
      <c r="B527" s="1" t="n">
        <v>45154</v>
      </c>
      <c r="C527" s="1" t="n">
        <v>46051</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21365-2022</t>
        </is>
      </c>
      <c r="B528" s="1" t="n">
        <v>44705</v>
      </c>
      <c r="C528" s="1" t="n">
        <v>46051</v>
      </c>
      <c r="D528" t="inlineStr">
        <is>
          <t>VÄRMLANDS LÄN</t>
        </is>
      </c>
      <c r="E528" t="inlineStr">
        <is>
          <t>ÅRJÄNG</t>
        </is>
      </c>
      <c r="G528" t="n">
        <v>1.8</v>
      </c>
      <c r="H528" t="n">
        <v>0</v>
      </c>
      <c r="I528" t="n">
        <v>0</v>
      </c>
      <c r="J528" t="n">
        <v>0</v>
      </c>
      <c r="K528" t="n">
        <v>0</v>
      </c>
      <c r="L528" t="n">
        <v>0</v>
      </c>
      <c r="M528" t="n">
        <v>0</v>
      </c>
      <c r="N528" t="n">
        <v>0</v>
      </c>
      <c r="O528" t="n">
        <v>0</v>
      </c>
      <c r="P528" t="n">
        <v>0</v>
      </c>
      <c r="Q528" t="n">
        <v>0</v>
      </c>
      <c r="R528" s="2" t="inlineStr"/>
    </row>
    <row r="529" ht="15" customHeight="1">
      <c r="A529" t="inlineStr">
        <is>
          <t>A 44456-2025</t>
        </is>
      </c>
      <c r="B529" s="1" t="n">
        <v>45916</v>
      </c>
      <c r="C529" s="1" t="n">
        <v>46051</v>
      </c>
      <c r="D529" t="inlineStr">
        <is>
          <t>VÄRMLANDS LÄN</t>
        </is>
      </c>
      <c r="E529" t="inlineStr">
        <is>
          <t>ÅRJÄNG</t>
        </is>
      </c>
      <c r="G529" t="n">
        <v>1.8</v>
      </c>
      <c r="H529" t="n">
        <v>0</v>
      </c>
      <c r="I529" t="n">
        <v>0</v>
      </c>
      <c r="J529" t="n">
        <v>0</v>
      </c>
      <c r="K529" t="n">
        <v>0</v>
      </c>
      <c r="L529" t="n">
        <v>0</v>
      </c>
      <c r="M529" t="n">
        <v>0</v>
      </c>
      <c r="N529" t="n">
        <v>0</v>
      </c>
      <c r="O529" t="n">
        <v>0</v>
      </c>
      <c r="P529" t="n">
        <v>0</v>
      </c>
      <c r="Q529" t="n">
        <v>0</v>
      </c>
      <c r="R529" s="2" t="inlineStr"/>
    </row>
    <row r="530" ht="15" customHeight="1">
      <c r="A530" t="inlineStr">
        <is>
          <t>A 33993-2025</t>
        </is>
      </c>
      <c r="B530" s="1" t="n">
        <v>45843.61189814815</v>
      </c>
      <c r="C530" s="1" t="n">
        <v>46051</v>
      </c>
      <c r="D530" t="inlineStr">
        <is>
          <t>VÄRMLANDS LÄN</t>
        </is>
      </c>
      <c r="E530" t="inlineStr">
        <is>
          <t>ÅRJÄNG</t>
        </is>
      </c>
      <c r="G530" t="n">
        <v>2.4</v>
      </c>
      <c r="H530" t="n">
        <v>0</v>
      </c>
      <c r="I530" t="n">
        <v>0</v>
      </c>
      <c r="J530" t="n">
        <v>0</v>
      </c>
      <c r="K530" t="n">
        <v>0</v>
      </c>
      <c r="L530" t="n">
        <v>0</v>
      </c>
      <c r="M530" t="n">
        <v>0</v>
      </c>
      <c r="N530" t="n">
        <v>0</v>
      </c>
      <c r="O530" t="n">
        <v>0</v>
      </c>
      <c r="P530" t="n">
        <v>0</v>
      </c>
      <c r="Q530" t="n">
        <v>0</v>
      </c>
      <c r="R530" s="2" t="inlineStr"/>
    </row>
    <row r="531" ht="15" customHeight="1">
      <c r="A531" t="inlineStr">
        <is>
          <t>A 34148-2025</t>
        </is>
      </c>
      <c r="B531" s="1" t="n">
        <v>45844</v>
      </c>
      <c r="C531" s="1" t="n">
        <v>46051</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44451-2025</t>
        </is>
      </c>
      <c r="B532" s="1" t="n">
        <v>45916</v>
      </c>
      <c r="C532" s="1" t="n">
        <v>46051</v>
      </c>
      <c r="D532" t="inlineStr">
        <is>
          <t>VÄRMLANDS LÄN</t>
        </is>
      </c>
      <c r="E532" t="inlineStr">
        <is>
          <t>ÅRJÄNG</t>
        </is>
      </c>
      <c r="G532" t="n">
        <v>12</v>
      </c>
      <c r="H532" t="n">
        <v>0</v>
      </c>
      <c r="I532" t="n">
        <v>0</v>
      </c>
      <c r="J532" t="n">
        <v>0</v>
      </c>
      <c r="K532" t="n">
        <v>0</v>
      </c>
      <c r="L532" t="n">
        <v>0</v>
      </c>
      <c r="M532" t="n">
        <v>0</v>
      </c>
      <c r="N532" t="n">
        <v>0</v>
      </c>
      <c r="O532" t="n">
        <v>0</v>
      </c>
      <c r="P532" t="n">
        <v>0</v>
      </c>
      <c r="Q532" t="n">
        <v>0</v>
      </c>
      <c r="R532" s="2" t="inlineStr"/>
    </row>
    <row r="533" ht="15" customHeight="1">
      <c r="A533" t="inlineStr">
        <is>
          <t>A 33998-2025</t>
        </is>
      </c>
      <c r="B533" s="1" t="n">
        <v>45843.99453703704</v>
      </c>
      <c r="C533" s="1" t="n">
        <v>46051</v>
      </c>
      <c r="D533" t="inlineStr">
        <is>
          <t>VÄRMLANDS LÄN</t>
        </is>
      </c>
      <c r="E533" t="inlineStr">
        <is>
          <t>ÅRJÄNG</t>
        </is>
      </c>
      <c r="F533" t="inlineStr">
        <is>
          <t>Kyrkan</t>
        </is>
      </c>
      <c r="G533" t="n">
        <v>2</v>
      </c>
      <c r="H533" t="n">
        <v>0</v>
      </c>
      <c r="I533" t="n">
        <v>0</v>
      </c>
      <c r="J533" t="n">
        <v>0</v>
      </c>
      <c r="K533" t="n">
        <v>0</v>
      </c>
      <c r="L533" t="n">
        <v>0</v>
      </c>
      <c r="M533" t="n">
        <v>0</v>
      </c>
      <c r="N533" t="n">
        <v>0</v>
      </c>
      <c r="O533" t="n">
        <v>0</v>
      </c>
      <c r="P533" t="n">
        <v>0</v>
      </c>
      <c r="Q533" t="n">
        <v>0</v>
      </c>
      <c r="R533" s="2" t="inlineStr"/>
    </row>
    <row r="534" ht="15" customHeight="1">
      <c r="A534" t="inlineStr">
        <is>
          <t>A 53468-2021</t>
        </is>
      </c>
      <c r="B534" s="1" t="n">
        <v>44468.74127314815</v>
      </c>
      <c r="C534" s="1" t="n">
        <v>46051</v>
      </c>
      <c r="D534" t="inlineStr">
        <is>
          <t>VÄRMLANDS LÄN</t>
        </is>
      </c>
      <c r="E534" t="inlineStr">
        <is>
          <t>ÅRJÄNG</t>
        </is>
      </c>
      <c r="G534" t="n">
        <v>2.1</v>
      </c>
      <c r="H534" t="n">
        <v>0</v>
      </c>
      <c r="I534" t="n">
        <v>0</v>
      </c>
      <c r="J534" t="n">
        <v>0</v>
      </c>
      <c r="K534" t="n">
        <v>0</v>
      </c>
      <c r="L534" t="n">
        <v>0</v>
      </c>
      <c r="M534" t="n">
        <v>0</v>
      </c>
      <c r="N534" t="n">
        <v>0</v>
      </c>
      <c r="O534" t="n">
        <v>0</v>
      </c>
      <c r="P534" t="n">
        <v>0</v>
      </c>
      <c r="Q534" t="n">
        <v>0</v>
      </c>
      <c r="R534" s="2" t="inlineStr"/>
    </row>
    <row r="535" ht="15" customHeight="1">
      <c r="A535" t="inlineStr">
        <is>
          <t>A 34243-2025</t>
        </is>
      </c>
      <c r="B535" s="1" t="n">
        <v>45845</v>
      </c>
      <c r="C535" s="1" t="n">
        <v>46051</v>
      </c>
      <c r="D535" t="inlineStr">
        <is>
          <t>VÄRMLANDS LÄN</t>
        </is>
      </c>
      <c r="E535" t="inlineStr">
        <is>
          <t>ÅRJÄNG</t>
        </is>
      </c>
      <c r="G535" t="n">
        <v>2.6</v>
      </c>
      <c r="H535" t="n">
        <v>0</v>
      </c>
      <c r="I535" t="n">
        <v>0</v>
      </c>
      <c r="J535" t="n">
        <v>0</v>
      </c>
      <c r="K535" t="n">
        <v>0</v>
      </c>
      <c r="L535" t="n">
        <v>0</v>
      </c>
      <c r="M535" t="n">
        <v>0</v>
      </c>
      <c r="N535" t="n">
        <v>0</v>
      </c>
      <c r="O535" t="n">
        <v>0</v>
      </c>
      <c r="P535" t="n">
        <v>0</v>
      </c>
      <c r="Q535" t="n">
        <v>0</v>
      </c>
      <c r="R535" s="2" t="inlineStr"/>
    </row>
    <row r="536" ht="15" customHeight="1">
      <c r="A536" t="inlineStr">
        <is>
          <t>A 34248-2025</t>
        </is>
      </c>
      <c r="B536" s="1" t="n">
        <v>45845</v>
      </c>
      <c r="C536" s="1" t="n">
        <v>46051</v>
      </c>
      <c r="D536" t="inlineStr">
        <is>
          <t>VÄRMLANDS LÄN</t>
        </is>
      </c>
      <c r="E536" t="inlineStr">
        <is>
          <t>ÅRJÄNG</t>
        </is>
      </c>
      <c r="G536" t="n">
        <v>2.7</v>
      </c>
      <c r="H536" t="n">
        <v>0</v>
      </c>
      <c r="I536" t="n">
        <v>0</v>
      </c>
      <c r="J536" t="n">
        <v>0</v>
      </c>
      <c r="K536" t="n">
        <v>0</v>
      </c>
      <c r="L536" t="n">
        <v>0</v>
      </c>
      <c r="M536" t="n">
        <v>0</v>
      </c>
      <c r="N536" t="n">
        <v>0</v>
      </c>
      <c r="O536" t="n">
        <v>0</v>
      </c>
      <c r="P536" t="n">
        <v>0</v>
      </c>
      <c r="Q536" t="n">
        <v>0</v>
      </c>
      <c r="R536" s="2" t="inlineStr"/>
    </row>
    <row r="537" ht="15" customHeight="1">
      <c r="A537" t="inlineStr">
        <is>
          <t>A 34252-2025</t>
        </is>
      </c>
      <c r="B537" s="1" t="n">
        <v>45845</v>
      </c>
      <c r="C537" s="1" t="n">
        <v>46051</v>
      </c>
      <c r="D537" t="inlineStr">
        <is>
          <t>VÄRMLANDS LÄN</t>
        </is>
      </c>
      <c r="E537" t="inlineStr">
        <is>
          <t>ÅRJÄNG</t>
        </is>
      </c>
      <c r="G537" t="n">
        <v>7.1</v>
      </c>
      <c r="H537" t="n">
        <v>0</v>
      </c>
      <c r="I537" t="n">
        <v>0</v>
      </c>
      <c r="J537" t="n">
        <v>0</v>
      </c>
      <c r="K537" t="n">
        <v>0</v>
      </c>
      <c r="L537" t="n">
        <v>0</v>
      </c>
      <c r="M537" t="n">
        <v>0</v>
      </c>
      <c r="N537" t="n">
        <v>0</v>
      </c>
      <c r="O537" t="n">
        <v>0</v>
      </c>
      <c r="P537" t="n">
        <v>0</v>
      </c>
      <c r="Q537" t="n">
        <v>0</v>
      </c>
      <c r="R537" s="2" t="inlineStr"/>
      <c r="U537">
        <f>HYPERLINK("https://klasma.github.io/Logging_1765/knärot/A 34252-2025 karta knärot.png", "A 34252-2025")</f>
        <v/>
      </c>
      <c r="V537">
        <f>HYPERLINK("https://klasma.github.io/Logging_1765/klagomål/A 34252-2025 FSC-klagomål.docx", "A 34252-2025")</f>
        <v/>
      </c>
      <c r="W537">
        <f>HYPERLINK("https://klasma.github.io/Logging_1765/klagomålsmail/A 34252-2025 FSC-klagomål mail.docx", "A 34252-2025")</f>
        <v/>
      </c>
      <c r="X537">
        <f>HYPERLINK("https://klasma.github.io/Logging_1765/tillsyn/A 34252-2025 tillsynsbegäran.docx", "A 34252-2025")</f>
        <v/>
      </c>
      <c r="Y537">
        <f>HYPERLINK("https://klasma.github.io/Logging_1765/tillsynsmail/A 34252-2025 tillsynsbegäran mail.docx", "A 34252-2025")</f>
        <v/>
      </c>
    </row>
    <row r="538" ht="15" customHeight="1">
      <c r="A538" t="inlineStr">
        <is>
          <t>A 44924-2025</t>
        </is>
      </c>
      <c r="B538" s="1" t="n">
        <v>45918</v>
      </c>
      <c r="C538" s="1" t="n">
        <v>46051</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34077-2025</t>
        </is>
      </c>
      <c r="B539" s="1" t="n">
        <v>45845.45206018518</v>
      </c>
      <c r="C539" s="1" t="n">
        <v>46051</v>
      </c>
      <c r="D539" t="inlineStr">
        <is>
          <t>VÄRMLANDS LÄN</t>
        </is>
      </c>
      <c r="E539" t="inlineStr">
        <is>
          <t>ÅRJÄNG</t>
        </is>
      </c>
      <c r="G539" t="n">
        <v>2.3</v>
      </c>
      <c r="H539" t="n">
        <v>0</v>
      </c>
      <c r="I539" t="n">
        <v>0</v>
      </c>
      <c r="J539" t="n">
        <v>0</v>
      </c>
      <c r="K539" t="n">
        <v>0</v>
      </c>
      <c r="L539" t="n">
        <v>0</v>
      </c>
      <c r="M539" t="n">
        <v>0</v>
      </c>
      <c r="N539" t="n">
        <v>0</v>
      </c>
      <c r="O539" t="n">
        <v>0</v>
      </c>
      <c r="P539" t="n">
        <v>0</v>
      </c>
      <c r="Q539" t="n">
        <v>0</v>
      </c>
      <c r="R539" s="2" t="inlineStr"/>
    </row>
    <row r="540" ht="15" customHeight="1">
      <c r="A540" t="inlineStr">
        <is>
          <t>A 13784-2024</t>
        </is>
      </c>
      <c r="B540" s="1" t="n">
        <v>45391.33817129629</v>
      </c>
      <c r="C540" s="1" t="n">
        <v>46051</v>
      </c>
      <c r="D540" t="inlineStr">
        <is>
          <t>VÄRMLANDS LÄN</t>
        </is>
      </c>
      <c r="E540" t="inlineStr">
        <is>
          <t>ÅRJÄNG</t>
        </is>
      </c>
      <c r="G540" t="n">
        <v>2.1</v>
      </c>
      <c r="H540" t="n">
        <v>0</v>
      </c>
      <c r="I540" t="n">
        <v>0</v>
      </c>
      <c r="J540" t="n">
        <v>0</v>
      </c>
      <c r="K540" t="n">
        <v>0</v>
      </c>
      <c r="L540" t="n">
        <v>0</v>
      </c>
      <c r="M540" t="n">
        <v>0</v>
      </c>
      <c r="N540" t="n">
        <v>0</v>
      </c>
      <c r="O540" t="n">
        <v>0</v>
      </c>
      <c r="P540" t="n">
        <v>0</v>
      </c>
      <c r="Q540" t="n">
        <v>0</v>
      </c>
      <c r="R540" s="2" t="inlineStr"/>
    </row>
    <row r="541" ht="15" customHeight="1">
      <c r="A541" t="inlineStr">
        <is>
          <t>A 44768-2025</t>
        </is>
      </c>
      <c r="B541" s="1" t="n">
        <v>45917.74274305555</v>
      </c>
      <c r="C541" s="1" t="n">
        <v>46051</v>
      </c>
      <c r="D541" t="inlineStr">
        <is>
          <t>VÄRMLANDS LÄN</t>
        </is>
      </c>
      <c r="E541" t="inlineStr">
        <is>
          <t>ÅRJÄNG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34230-2025</t>
        </is>
      </c>
      <c r="B542" s="1" t="n">
        <v>45845</v>
      </c>
      <c r="C542" s="1" t="n">
        <v>46051</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34235-2025</t>
        </is>
      </c>
      <c r="B543" s="1" t="n">
        <v>45845</v>
      </c>
      <c r="C543" s="1" t="n">
        <v>46051</v>
      </c>
      <c r="D543" t="inlineStr">
        <is>
          <t>VÄRMLANDS LÄN</t>
        </is>
      </c>
      <c r="E543" t="inlineStr">
        <is>
          <t>ÅRJÄNG</t>
        </is>
      </c>
      <c r="G543" t="n">
        <v>3.5</v>
      </c>
      <c r="H543" t="n">
        <v>0</v>
      </c>
      <c r="I543" t="n">
        <v>0</v>
      </c>
      <c r="J543" t="n">
        <v>0</v>
      </c>
      <c r="K543" t="n">
        <v>0</v>
      </c>
      <c r="L543" t="n">
        <v>0</v>
      </c>
      <c r="M543" t="n">
        <v>0</v>
      </c>
      <c r="N543" t="n">
        <v>0</v>
      </c>
      <c r="O543" t="n">
        <v>0</v>
      </c>
      <c r="P543" t="n">
        <v>0</v>
      </c>
      <c r="Q543" t="n">
        <v>0</v>
      </c>
      <c r="R543" s="2" t="inlineStr"/>
    </row>
    <row r="544" ht="15" customHeight="1">
      <c r="A544" t="inlineStr">
        <is>
          <t>A 45037-2025</t>
        </is>
      </c>
      <c r="B544" s="1" t="n">
        <v>45918</v>
      </c>
      <c r="C544" s="1" t="n">
        <v>46051</v>
      </c>
      <c r="D544" t="inlineStr">
        <is>
          <t>VÄRMLANDS LÄN</t>
        </is>
      </c>
      <c r="E544" t="inlineStr">
        <is>
          <t>ÅRJÄNG</t>
        </is>
      </c>
      <c r="G544" t="n">
        <v>8.5</v>
      </c>
      <c r="H544" t="n">
        <v>0</v>
      </c>
      <c r="I544" t="n">
        <v>0</v>
      </c>
      <c r="J544" t="n">
        <v>0</v>
      </c>
      <c r="K544" t="n">
        <v>0</v>
      </c>
      <c r="L544" t="n">
        <v>0</v>
      </c>
      <c r="M544" t="n">
        <v>0</v>
      </c>
      <c r="N544" t="n">
        <v>0</v>
      </c>
      <c r="O544" t="n">
        <v>0</v>
      </c>
      <c r="P544" t="n">
        <v>0</v>
      </c>
      <c r="Q544" t="n">
        <v>0</v>
      </c>
      <c r="R544" s="2" t="inlineStr"/>
    </row>
    <row r="545" ht="15" customHeight="1">
      <c r="A545" t="inlineStr">
        <is>
          <t>A 44956-2025</t>
        </is>
      </c>
      <c r="B545" s="1" t="n">
        <v>45918.61452546297</v>
      </c>
      <c r="C545" s="1" t="n">
        <v>46051</v>
      </c>
      <c r="D545" t="inlineStr">
        <is>
          <t>VÄRMLANDS LÄN</t>
        </is>
      </c>
      <c r="E545" t="inlineStr">
        <is>
          <t>ÅRJÄNG</t>
        </is>
      </c>
      <c r="G545" t="n">
        <v>3.7</v>
      </c>
      <c r="H545" t="n">
        <v>0</v>
      </c>
      <c r="I545" t="n">
        <v>0</v>
      </c>
      <c r="J545" t="n">
        <v>0</v>
      </c>
      <c r="K545" t="n">
        <v>0</v>
      </c>
      <c r="L545" t="n">
        <v>0</v>
      </c>
      <c r="M545" t="n">
        <v>0</v>
      </c>
      <c r="N545" t="n">
        <v>0</v>
      </c>
      <c r="O545" t="n">
        <v>0</v>
      </c>
      <c r="P545" t="n">
        <v>0</v>
      </c>
      <c r="Q545" t="n">
        <v>0</v>
      </c>
      <c r="R545" s="2" t="inlineStr"/>
    </row>
    <row r="546" ht="15" customHeight="1">
      <c r="A546" t="inlineStr">
        <is>
          <t>A 45099-2025</t>
        </is>
      </c>
      <c r="B546" s="1" t="n">
        <v>45919</v>
      </c>
      <c r="C546" s="1" t="n">
        <v>46051</v>
      </c>
      <c r="D546" t="inlineStr">
        <is>
          <t>VÄRMLANDS LÄN</t>
        </is>
      </c>
      <c r="E546" t="inlineStr">
        <is>
          <t>ÅRJÄNG</t>
        </is>
      </c>
      <c r="F546" t="inlineStr">
        <is>
          <t>Övriga Aktiebolag</t>
        </is>
      </c>
      <c r="G546" t="n">
        <v>4.7</v>
      </c>
      <c r="H546" t="n">
        <v>0</v>
      </c>
      <c r="I546" t="n">
        <v>0</v>
      </c>
      <c r="J546" t="n">
        <v>0</v>
      </c>
      <c r="K546" t="n">
        <v>0</v>
      </c>
      <c r="L546" t="n">
        <v>0</v>
      </c>
      <c r="M546" t="n">
        <v>0</v>
      </c>
      <c r="N546" t="n">
        <v>0</v>
      </c>
      <c r="O546" t="n">
        <v>0</v>
      </c>
      <c r="P546" t="n">
        <v>0</v>
      </c>
      <c r="Q546" t="n">
        <v>0</v>
      </c>
      <c r="R546" s="2" t="inlineStr"/>
    </row>
    <row r="547" ht="15" customHeight="1">
      <c r="A547" t="inlineStr">
        <is>
          <t>A 34839-2025</t>
        </is>
      </c>
      <c r="B547" s="1" t="n">
        <v>45849.39505787037</v>
      </c>
      <c r="C547" s="1" t="n">
        <v>46051</v>
      </c>
      <c r="D547" t="inlineStr">
        <is>
          <t>VÄRMLANDS LÄN</t>
        </is>
      </c>
      <c r="E547" t="inlineStr">
        <is>
          <t>ÅRJÄNG</t>
        </is>
      </c>
      <c r="G547" t="n">
        <v>3.7</v>
      </c>
      <c r="H547" t="n">
        <v>0</v>
      </c>
      <c r="I547" t="n">
        <v>0</v>
      </c>
      <c r="J547" t="n">
        <v>0</v>
      </c>
      <c r="K547" t="n">
        <v>0</v>
      </c>
      <c r="L547" t="n">
        <v>0</v>
      </c>
      <c r="M547" t="n">
        <v>0</v>
      </c>
      <c r="N547" t="n">
        <v>0</v>
      </c>
      <c r="O547" t="n">
        <v>0</v>
      </c>
      <c r="P547" t="n">
        <v>0</v>
      </c>
      <c r="Q547" t="n">
        <v>0</v>
      </c>
      <c r="R547" s="2" t="inlineStr"/>
    </row>
    <row r="548" ht="15" customHeight="1">
      <c r="A548" t="inlineStr">
        <is>
          <t>A 45130-2025</t>
        </is>
      </c>
      <c r="B548" s="1" t="n">
        <v>45919</v>
      </c>
      <c r="C548" s="1" t="n">
        <v>46051</v>
      </c>
      <c r="D548" t="inlineStr">
        <is>
          <t>VÄRMLANDS LÄN</t>
        </is>
      </c>
      <c r="E548" t="inlineStr">
        <is>
          <t>ÅRJÄNG</t>
        </is>
      </c>
      <c r="F548" t="inlineStr">
        <is>
          <t>Övriga Aktiebolag</t>
        </is>
      </c>
      <c r="G548" t="n">
        <v>1.2</v>
      </c>
      <c r="H548" t="n">
        <v>0</v>
      </c>
      <c r="I548" t="n">
        <v>0</v>
      </c>
      <c r="J548" t="n">
        <v>0</v>
      </c>
      <c r="K548" t="n">
        <v>0</v>
      </c>
      <c r="L548" t="n">
        <v>0</v>
      </c>
      <c r="M548" t="n">
        <v>0</v>
      </c>
      <c r="N548" t="n">
        <v>0</v>
      </c>
      <c r="O548" t="n">
        <v>0</v>
      </c>
      <c r="P548" t="n">
        <v>0</v>
      </c>
      <c r="Q548" t="n">
        <v>0</v>
      </c>
      <c r="R548" s="2" t="inlineStr"/>
    </row>
    <row r="549" ht="15" customHeight="1">
      <c r="A549" t="inlineStr">
        <is>
          <t>A 34840-2025</t>
        </is>
      </c>
      <c r="B549" s="1" t="n">
        <v>45849</v>
      </c>
      <c r="C549" s="1" t="n">
        <v>46051</v>
      </c>
      <c r="D549" t="inlineStr">
        <is>
          <t>VÄRMLANDS LÄN</t>
        </is>
      </c>
      <c r="E549" t="inlineStr">
        <is>
          <t>ÅRJÄNG</t>
        </is>
      </c>
      <c r="G549" t="n">
        <v>2.3</v>
      </c>
      <c r="H549" t="n">
        <v>0</v>
      </c>
      <c r="I549" t="n">
        <v>0</v>
      </c>
      <c r="J549" t="n">
        <v>0</v>
      </c>
      <c r="K549" t="n">
        <v>0</v>
      </c>
      <c r="L549" t="n">
        <v>0</v>
      </c>
      <c r="M549" t="n">
        <v>0</v>
      </c>
      <c r="N549" t="n">
        <v>0</v>
      </c>
      <c r="O549" t="n">
        <v>0</v>
      </c>
      <c r="P549" t="n">
        <v>0</v>
      </c>
      <c r="Q549" t="n">
        <v>0</v>
      </c>
      <c r="R549" s="2" t="inlineStr"/>
    </row>
    <row r="550" ht="15" customHeight="1">
      <c r="A550" t="inlineStr">
        <is>
          <t>A 45161-2025</t>
        </is>
      </c>
      <c r="B550" s="1" t="n">
        <v>45919</v>
      </c>
      <c r="C550" s="1" t="n">
        <v>46051</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45137-2025</t>
        </is>
      </c>
      <c r="B551" s="1" t="n">
        <v>45919</v>
      </c>
      <c r="C551" s="1" t="n">
        <v>46051</v>
      </c>
      <c r="D551" t="inlineStr">
        <is>
          <t>VÄRMLANDS LÄN</t>
        </is>
      </c>
      <c r="E551" t="inlineStr">
        <is>
          <t>ÅRJÄNG</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35104-2025</t>
        </is>
      </c>
      <c r="B552" s="1" t="n">
        <v>45852.57070601852</v>
      </c>
      <c r="C552" s="1" t="n">
        <v>46051</v>
      </c>
      <c r="D552" t="inlineStr">
        <is>
          <t>VÄRMLANDS LÄN</t>
        </is>
      </c>
      <c r="E552" t="inlineStr">
        <is>
          <t>ÅRJÄNG</t>
        </is>
      </c>
      <c r="G552" t="n">
        <v>0.8</v>
      </c>
      <c r="H552" t="n">
        <v>0</v>
      </c>
      <c r="I552" t="n">
        <v>0</v>
      </c>
      <c r="J552" t="n">
        <v>0</v>
      </c>
      <c r="K552" t="n">
        <v>0</v>
      </c>
      <c r="L552" t="n">
        <v>0</v>
      </c>
      <c r="M552" t="n">
        <v>0</v>
      </c>
      <c r="N552" t="n">
        <v>0</v>
      </c>
      <c r="O552" t="n">
        <v>0</v>
      </c>
      <c r="P552" t="n">
        <v>0</v>
      </c>
      <c r="Q552" t="n">
        <v>0</v>
      </c>
      <c r="R552" s="2" t="inlineStr"/>
    </row>
    <row r="553" ht="15" customHeight="1">
      <c r="A553" t="inlineStr">
        <is>
          <t>A 43650-2024</t>
        </is>
      </c>
      <c r="B553" s="1" t="n">
        <v>45569.53091435185</v>
      </c>
      <c r="C553" s="1" t="n">
        <v>46051</v>
      </c>
      <c r="D553" t="inlineStr">
        <is>
          <t>VÄRMLANDS LÄN</t>
        </is>
      </c>
      <c r="E553" t="inlineStr">
        <is>
          <t>ÅRJÄNG</t>
        </is>
      </c>
      <c r="G553" t="n">
        <v>1.4</v>
      </c>
      <c r="H553" t="n">
        <v>0</v>
      </c>
      <c r="I553" t="n">
        <v>0</v>
      </c>
      <c r="J553" t="n">
        <v>0</v>
      </c>
      <c r="K553" t="n">
        <v>0</v>
      </c>
      <c r="L553" t="n">
        <v>0</v>
      </c>
      <c r="M553" t="n">
        <v>0</v>
      </c>
      <c r="N553" t="n">
        <v>0</v>
      </c>
      <c r="O553" t="n">
        <v>0</v>
      </c>
      <c r="P553" t="n">
        <v>0</v>
      </c>
      <c r="Q553" t="n">
        <v>0</v>
      </c>
      <c r="R553" s="2" t="inlineStr"/>
    </row>
    <row r="554" ht="15" customHeight="1">
      <c r="A554" t="inlineStr">
        <is>
          <t>A 45332-2025</t>
        </is>
      </c>
      <c r="B554" s="1" t="n">
        <v>45922</v>
      </c>
      <c r="C554" s="1" t="n">
        <v>46051</v>
      </c>
      <c r="D554" t="inlineStr">
        <is>
          <t>VÄRMLANDS LÄN</t>
        </is>
      </c>
      <c r="E554" t="inlineStr">
        <is>
          <t>ÅRJÄNG</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45329-2025</t>
        </is>
      </c>
      <c r="B555" s="1" t="n">
        <v>45922</v>
      </c>
      <c r="C555" s="1" t="n">
        <v>46051</v>
      </c>
      <c r="D555" t="inlineStr">
        <is>
          <t>VÄRMLANDS LÄN</t>
        </is>
      </c>
      <c r="E555" t="inlineStr">
        <is>
          <t>ÅRJÄNG</t>
        </is>
      </c>
      <c r="F555" t="inlineStr">
        <is>
          <t>Bergvik skog väst AB</t>
        </is>
      </c>
      <c r="G555" t="n">
        <v>1.3</v>
      </c>
      <c r="H555" t="n">
        <v>0</v>
      </c>
      <c r="I555" t="n">
        <v>0</v>
      </c>
      <c r="J555" t="n">
        <v>0</v>
      </c>
      <c r="K555" t="n">
        <v>0</v>
      </c>
      <c r="L555" t="n">
        <v>0</v>
      </c>
      <c r="M555" t="n">
        <v>0</v>
      </c>
      <c r="N555" t="n">
        <v>0</v>
      </c>
      <c r="O555" t="n">
        <v>0</v>
      </c>
      <c r="P555" t="n">
        <v>0</v>
      </c>
      <c r="Q555" t="n">
        <v>0</v>
      </c>
      <c r="R555" s="2" t="inlineStr"/>
    </row>
    <row r="556" ht="15" customHeight="1">
      <c r="A556" t="inlineStr">
        <is>
          <t>A 45524-2025</t>
        </is>
      </c>
      <c r="B556" s="1" t="n">
        <v>45922</v>
      </c>
      <c r="C556" s="1" t="n">
        <v>46051</v>
      </c>
      <c r="D556" t="inlineStr">
        <is>
          <t>VÄRMLANDS LÄN</t>
        </is>
      </c>
      <c r="E556" t="inlineStr">
        <is>
          <t>ÅRJÄNG</t>
        </is>
      </c>
      <c r="G556" t="n">
        <v>2.6</v>
      </c>
      <c r="H556" t="n">
        <v>0</v>
      </c>
      <c r="I556" t="n">
        <v>0</v>
      </c>
      <c r="J556" t="n">
        <v>0</v>
      </c>
      <c r="K556" t="n">
        <v>0</v>
      </c>
      <c r="L556" t="n">
        <v>0</v>
      </c>
      <c r="M556" t="n">
        <v>0</v>
      </c>
      <c r="N556" t="n">
        <v>0</v>
      </c>
      <c r="O556" t="n">
        <v>0</v>
      </c>
      <c r="P556" t="n">
        <v>0</v>
      </c>
      <c r="Q556" t="n">
        <v>0</v>
      </c>
      <c r="R556" s="2" t="inlineStr"/>
    </row>
    <row r="557" ht="15" customHeight="1">
      <c r="A557" t="inlineStr">
        <is>
          <t>A 45192-2025</t>
        </is>
      </c>
      <c r="B557" s="1" t="n">
        <v>45919</v>
      </c>
      <c r="C557" s="1" t="n">
        <v>46051</v>
      </c>
      <c r="D557" t="inlineStr">
        <is>
          <t>VÄRMLANDS LÄN</t>
        </is>
      </c>
      <c r="E557" t="inlineStr">
        <is>
          <t>ÅRJÄNG</t>
        </is>
      </c>
      <c r="F557" t="inlineStr">
        <is>
          <t>Bergvik skog väst AB</t>
        </is>
      </c>
      <c r="G557" t="n">
        <v>3.8</v>
      </c>
      <c r="H557" t="n">
        <v>0</v>
      </c>
      <c r="I557" t="n">
        <v>0</v>
      </c>
      <c r="J557" t="n">
        <v>0</v>
      </c>
      <c r="K557" t="n">
        <v>0</v>
      </c>
      <c r="L557" t="n">
        <v>0</v>
      </c>
      <c r="M557" t="n">
        <v>0</v>
      </c>
      <c r="N557" t="n">
        <v>0</v>
      </c>
      <c r="O557" t="n">
        <v>0</v>
      </c>
      <c r="P557" t="n">
        <v>0</v>
      </c>
      <c r="Q557" t="n">
        <v>0</v>
      </c>
      <c r="R557" s="2" t="inlineStr"/>
    </row>
    <row r="558" ht="15" customHeight="1">
      <c r="A558" t="inlineStr">
        <is>
          <t>A 45515-2025</t>
        </is>
      </c>
      <c r="B558" s="1" t="n">
        <v>45922</v>
      </c>
      <c r="C558" s="1" t="n">
        <v>46051</v>
      </c>
      <c r="D558" t="inlineStr">
        <is>
          <t>VÄRMLANDS LÄN</t>
        </is>
      </c>
      <c r="E558" t="inlineStr">
        <is>
          <t>ÅRJÄNG</t>
        </is>
      </c>
      <c r="G558" t="n">
        <v>1.8</v>
      </c>
      <c r="H558" t="n">
        <v>0</v>
      </c>
      <c r="I558" t="n">
        <v>0</v>
      </c>
      <c r="J558" t="n">
        <v>0</v>
      </c>
      <c r="K558" t="n">
        <v>0</v>
      </c>
      <c r="L558" t="n">
        <v>0</v>
      </c>
      <c r="M558" t="n">
        <v>0</v>
      </c>
      <c r="N558" t="n">
        <v>0</v>
      </c>
      <c r="O558" t="n">
        <v>0</v>
      </c>
      <c r="P558" t="n">
        <v>0</v>
      </c>
      <c r="Q558" t="n">
        <v>0</v>
      </c>
      <c r="R558" s="2" t="inlineStr"/>
    </row>
    <row r="559" ht="15" customHeight="1">
      <c r="A559" t="inlineStr">
        <is>
          <t>A 45590-2025</t>
        </is>
      </c>
      <c r="B559" s="1" t="n">
        <v>45922</v>
      </c>
      <c r="C559" s="1" t="n">
        <v>46051</v>
      </c>
      <c r="D559" t="inlineStr">
        <is>
          <t>VÄRMLANDS LÄN</t>
        </is>
      </c>
      <c r="E559" t="inlineStr">
        <is>
          <t>ÅRJÄNG</t>
        </is>
      </c>
      <c r="G559" t="n">
        <v>3.2</v>
      </c>
      <c r="H559" t="n">
        <v>0</v>
      </c>
      <c r="I559" t="n">
        <v>0</v>
      </c>
      <c r="J559" t="n">
        <v>0</v>
      </c>
      <c r="K559" t="n">
        <v>0</v>
      </c>
      <c r="L559" t="n">
        <v>0</v>
      </c>
      <c r="M559" t="n">
        <v>0</v>
      </c>
      <c r="N559" t="n">
        <v>0</v>
      </c>
      <c r="O559" t="n">
        <v>0</v>
      </c>
      <c r="P559" t="n">
        <v>0</v>
      </c>
      <c r="Q559" t="n">
        <v>0</v>
      </c>
      <c r="R559" s="2" t="inlineStr"/>
    </row>
    <row r="560" ht="15" customHeight="1">
      <c r="A560" t="inlineStr">
        <is>
          <t>A 45599-2025</t>
        </is>
      </c>
      <c r="B560" s="1" t="n">
        <v>45922</v>
      </c>
      <c r="C560" s="1" t="n">
        <v>46051</v>
      </c>
      <c r="D560" t="inlineStr">
        <is>
          <t>VÄRMLANDS LÄN</t>
        </is>
      </c>
      <c r="E560" t="inlineStr">
        <is>
          <t>ÅRJÄNG</t>
        </is>
      </c>
      <c r="G560" t="n">
        <v>6.7</v>
      </c>
      <c r="H560" t="n">
        <v>0</v>
      </c>
      <c r="I560" t="n">
        <v>0</v>
      </c>
      <c r="J560" t="n">
        <v>0</v>
      </c>
      <c r="K560" t="n">
        <v>0</v>
      </c>
      <c r="L560" t="n">
        <v>0</v>
      </c>
      <c r="M560" t="n">
        <v>0</v>
      </c>
      <c r="N560" t="n">
        <v>0</v>
      </c>
      <c r="O560" t="n">
        <v>0</v>
      </c>
      <c r="P560" t="n">
        <v>0</v>
      </c>
      <c r="Q560" t="n">
        <v>0</v>
      </c>
      <c r="R560" s="2" t="inlineStr"/>
    </row>
    <row r="561" ht="15" customHeight="1">
      <c r="A561" t="inlineStr">
        <is>
          <t>A 45203-2025</t>
        </is>
      </c>
      <c r="B561" s="1" t="n">
        <v>45919</v>
      </c>
      <c r="C561" s="1" t="n">
        <v>46051</v>
      </c>
      <c r="D561" t="inlineStr">
        <is>
          <t>VÄRMLANDS LÄN</t>
        </is>
      </c>
      <c r="E561" t="inlineStr">
        <is>
          <t>ÅRJÄNG</t>
        </is>
      </c>
      <c r="G561" t="n">
        <v>0.8</v>
      </c>
      <c r="H561" t="n">
        <v>0</v>
      </c>
      <c r="I561" t="n">
        <v>0</v>
      </c>
      <c r="J561" t="n">
        <v>0</v>
      </c>
      <c r="K561" t="n">
        <v>0</v>
      </c>
      <c r="L561" t="n">
        <v>0</v>
      </c>
      <c r="M561" t="n">
        <v>0</v>
      </c>
      <c r="N561" t="n">
        <v>0</v>
      </c>
      <c r="O561" t="n">
        <v>0</v>
      </c>
      <c r="P561" t="n">
        <v>0</v>
      </c>
      <c r="Q561" t="n">
        <v>0</v>
      </c>
      <c r="R561" s="2" t="inlineStr"/>
    </row>
    <row r="562" ht="15" customHeight="1">
      <c r="A562" t="inlineStr">
        <is>
          <t>A 21513-2024</t>
        </is>
      </c>
      <c r="B562" s="1" t="n">
        <v>45441</v>
      </c>
      <c r="C562" s="1" t="n">
        <v>46051</v>
      </c>
      <c r="D562" t="inlineStr">
        <is>
          <t>VÄRMLANDS LÄN</t>
        </is>
      </c>
      <c r="E562" t="inlineStr">
        <is>
          <t>ÅRJÄNG</t>
        </is>
      </c>
      <c r="G562" t="n">
        <v>2.1</v>
      </c>
      <c r="H562" t="n">
        <v>0</v>
      </c>
      <c r="I562" t="n">
        <v>0</v>
      </c>
      <c r="J562" t="n">
        <v>0</v>
      </c>
      <c r="K562" t="n">
        <v>0</v>
      </c>
      <c r="L562" t="n">
        <v>0</v>
      </c>
      <c r="M562" t="n">
        <v>0</v>
      </c>
      <c r="N562" t="n">
        <v>0</v>
      </c>
      <c r="O562" t="n">
        <v>0</v>
      </c>
      <c r="P562" t="n">
        <v>0</v>
      </c>
      <c r="Q562" t="n">
        <v>0</v>
      </c>
      <c r="R562" s="2" t="inlineStr"/>
    </row>
    <row r="563" ht="15" customHeight="1">
      <c r="A563" t="inlineStr">
        <is>
          <t>A 45159-2025</t>
        </is>
      </c>
      <c r="B563" s="1" t="n">
        <v>45919</v>
      </c>
      <c r="C563" s="1" t="n">
        <v>46051</v>
      </c>
      <c r="D563" t="inlineStr">
        <is>
          <t>VÄRMLANDS LÄN</t>
        </is>
      </c>
      <c r="E563" t="inlineStr">
        <is>
          <t>ÅRJÄNG</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45162-2025</t>
        </is>
      </c>
      <c r="B564" s="1" t="n">
        <v>45919</v>
      </c>
      <c r="C564" s="1" t="n">
        <v>46051</v>
      </c>
      <c r="D564" t="inlineStr">
        <is>
          <t>VÄRMLANDS LÄN</t>
        </is>
      </c>
      <c r="E564" t="inlineStr">
        <is>
          <t>ÅRJÄNG</t>
        </is>
      </c>
      <c r="G564" t="n">
        <v>3.3</v>
      </c>
      <c r="H564" t="n">
        <v>0</v>
      </c>
      <c r="I564" t="n">
        <v>0</v>
      </c>
      <c r="J564" t="n">
        <v>0</v>
      </c>
      <c r="K564" t="n">
        <v>0</v>
      </c>
      <c r="L564" t="n">
        <v>0</v>
      </c>
      <c r="M564" t="n">
        <v>0</v>
      </c>
      <c r="N564" t="n">
        <v>0</v>
      </c>
      <c r="O564" t="n">
        <v>0</v>
      </c>
      <c r="P564" t="n">
        <v>0</v>
      </c>
      <c r="Q564" t="n">
        <v>0</v>
      </c>
      <c r="R564" s="2" t="inlineStr"/>
    </row>
    <row r="565" ht="15" customHeight="1">
      <c r="A565" t="inlineStr">
        <is>
          <t>A 45581-2025</t>
        </is>
      </c>
      <c r="B565" s="1" t="n">
        <v>45922</v>
      </c>
      <c r="C565" s="1" t="n">
        <v>46051</v>
      </c>
      <c r="D565" t="inlineStr">
        <is>
          <t>VÄRMLANDS LÄN</t>
        </is>
      </c>
      <c r="E565" t="inlineStr">
        <is>
          <t>ÅRJÄNG</t>
        </is>
      </c>
      <c r="G565" t="n">
        <v>1.2</v>
      </c>
      <c r="H565" t="n">
        <v>0</v>
      </c>
      <c r="I565" t="n">
        <v>0</v>
      </c>
      <c r="J565" t="n">
        <v>0</v>
      </c>
      <c r="K565" t="n">
        <v>0</v>
      </c>
      <c r="L565" t="n">
        <v>0</v>
      </c>
      <c r="M565" t="n">
        <v>0</v>
      </c>
      <c r="N565" t="n">
        <v>0</v>
      </c>
      <c r="O565" t="n">
        <v>0</v>
      </c>
      <c r="P565" t="n">
        <v>0</v>
      </c>
      <c r="Q565" t="n">
        <v>0</v>
      </c>
      <c r="R565" s="2" t="inlineStr"/>
    </row>
    <row r="566" ht="15" customHeight="1">
      <c r="A566" t="inlineStr">
        <is>
          <t>A 45411-2025</t>
        </is>
      </c>
      <c r="B566" s="1" t="n">
        <v>45922</v>
      </c>
      <c r="C566" s="1" t="n">
        <v>46051</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45166-2025</t>
        </is>
      </c>
      <c r="B567" s="1" t="n">
        <v>45919</v>
      </c>
      <c r="C567" s="1" t="n">
        <v>46051</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14509-2022</t>
        </is>
      </c>
      <c r="B568" s="1" t="n">
        <v>44655</v>
      </c>
      <c r="C568" s="1" t="n">
        <v>46051</v>
      </c>
      <c r="D568" t="inlineStr">
        <is>
          <t>VÄRMLANDS LÄN</t>
        </is>
      </c>
      <c r="E568" t="inlineStr">
        <is>
          <t>ÅRJÄNG</t>
        </is>
      </c>
      <c r="G568" t="n">
        <v>0.2</v>
      </c>
      <c r="H568" t="n">
        <v>0</v>
      </c>
      <c r="I568" t="n">
        <v>0</v>
      </c>
      <c r="J568" t="n">
        <v>0</v>
      </c>
      <c r="K568" t="n">
        <v>0</v>
      </c>
      <c r="L568" t="n">
        <v>0</v>
      </c>
      <c r="M568" t="n">
        <v>0</v>
      </c>
      <c r="N568" t="n">
        <v>0</v>
      </c>
      <c r="O568" t="n">
        <v>0</v>
      </c>
      <c r="P568" t="n">
        <v>0</v>
      </c>
      <c r="Q568" t="n">
        <v>0</v>
      </c>
      <c r="R568" s="2" t="inlineStr"/>
    </row>
    <row r="569" ht="15" customHeight="1">
      <c r="A569" t="inlineStr">
        <is>
          <t>A 44257-2025</t>
        </is>
      </c>
      <c r="B569" s="1" t="n">
        <v>45915</v>
      </c>
      <c r="C569" s="1" t="n">
        <v>46051</v>
      </c>
      <c r="D569" t="inlineStr">
        <is>
          <t>VÄRMLANDS LÄN</t>
        </is>
      </c>
      <c r="E569" t="inlineStr">
        <is>
          <t>ÅRJÄNG</t>
        </is>
      </c>
      <c r="G569" t="n">
        <v>3.6</v>
      </c>
      <c r="H569" t="n">
        <v>0</v>
      </c>
      <c r="I569" t="n">
        <v>0</v>
      </c>
      <c r="J569" t="n">
        <v>0</v>
      </c>
      <c r="K569" t="n">
        <v>0</v>
      </c>
      <c r="L569" t="n">
        <v>0</v>
      </c>
      <c r="M569" t="n">
        <v>0</v>
      </c>
      <c r="N569" t="n">
        <v>0</v>
      </c>
      <c r="O569" t="n">
        <v>0</v>
      </c>
      <c r="P569" t="n">
        <v>0</v>
      </c>
      <c r="Q569" t="n">
        <v>0</v>
      </c>
      <c r="R569" s="2" t="inlineStr"/>
    </row>
    <row r="570" ht="15" customHeight="1">
      <c r="A570" t="inlineStr">
        <is>
          <t>A 3861-2025</t>
        </is>
      </c>
      <c r="B570" s="1" t="n">
        <v>45683</v>
      </c>
      <c r="C570" s="1" t="n">
        <v>46051</v>
      </c>
      <c r="D570" t="inlineStr">
        <is>
          <t>VÄRMLANDS LÄN</t>
        </is>
      </c>
      <c r="E570" t="inlineStr">
        <is>
          <t>ÅRJÄNG</t>
        </is>
      </c>
      <c r="G570" t="n">
        <v>2.4</v>
      </c>
      <c r="H570" t="n">
        <v>0</v>
      </c>
      <c r="I570" t="n">
        <v>0</v>
      </c>
      <c r="J570" t="n">
        <v>0</v>
      </c>
      <c r="K570" t="n">
        <v>0</v>
      </c>
      <c r="L570" t="n">
        <v>0</v>
      </c>
      <c r="M570" t="n">
        <v>0</v>
      </c>
      <c r="N570" t="n">
        <v>0</v>
      </c>
      <c r="O570" t="n">
        <v>0</v>
      </c>
      <c r="P570" t="n">
        <v>0</v>
      </c>
      <c r="Q570" t="n">
        <v>0</v>
      </c>
      <c r="R570" s="2" t="inlineStr"/>
    </row>
    <row r="571" ht="15" customHeight="1">
      <c r="A571" t="inlineStr">
        <is>
          <t>A 59384-2023</t>
        </is>
      </c>
      <c r="B571" s="1" t="n">
        <v>45253</v>
      </c>
      <c r="C571" s="1" t="n">
        <v>46051</v>
      </c>
      <c r="D571" t="inlineStr">
        <is>
          <t>VÄRMLANDS LÄN</t>
        </is>
      </c>
      <c r="E571" t="inlineStr">
        <is>
          <t>ÅRJÄNG</t>
        </is>
      </c>
      <c r="G571" t="n">
        <v>1.7</v>
      </c>
      <c r="H571" t="n">
        <v>0</v>
      </c>
      <c r="I571" t="n">
        <v>0</v>
      </c>
      <c r="J571" t="n">
        <v>0</v>
      </c>
      <c r="K571" t="n">
        <v>0</v>
      </c>
      <c r="L571" t="n">
        <v>0</v>
      </c>
      <c r="M571" t="n">
        <v>0</v>
      </c>
      <c r="N571" t="n">
        <v>0</v>
      </c>
      <c r="O571" t="n">
        <v>0</v>
      </c>
      <c r="P571" t="n">
        <v>0</v>
      </c>
      <c r="Q571" t="n">
        <v>0</v>
      </c>
      <c r="R571" s="2" t="inlineStr"/>
    </row>
    <row r="572" ht="15" customHeight="1">
      <c r="A572" t="inlineStr">
        <is>
          <t>A 34831-2025</t>
        </is>
      </c>
      <c r="B572" s="1" t="n">
        <v>45849</v>
      </c>
      <c r="C572" s="1" t="n">
        <v>46051</v>
      </c>
      <c r="D572" t="inlineStr">
        <is>
          <t>VÄRMLANDS LÄN</t>
        </is>
      </c>
      <c r="E572" t="inlineStr">
        <is>
          <t>ÅRJÄNG</t>
        </is>
      </c>
      <c r="G572" t="n">
        <v>5.4</v>
      </c>
      <c r="H572" t="n">
        <v>0</v>
      </c>
      <c r="I572" t="n">
        <v>0</v>
      </c>
      <c r="J572" t="n">
        <v>0</v>
      </c>
      <c r="K572" t="n">
        <v>0</v>
      </c>
      <c r="L572" t="n">
        <v>0</v>
      </c>
      <c r="M572" t="n">
        <v>0</v>
      </c>
      <c r="N572" t="n">
        <v>0</v>
      </c>
      <c r="O572" t="n">
        <v>0</v>
      </c>
      <c r="P572" t="n">
        <v>0</v>
      </c>
      <c r="Q572" t="n">
        <v>0</v>
      </c>
      <c r="R572" s="2" t="inlineStr"/>
    </row>
    <row r="573" ht="15" customHeight="1">
      <c r="A573" t="inlineStr">
        <is>
          <t>A 35295-2025</t>
        </is>
      </c>
      <c r="B573" s="1" t="n">
        <v>45854.40325231481</v>
      </c>
      <c r="C573" s="1" t="n">
        <v>46051</v>
      </c>
      <c r="D573" t="inlineStr">
        <is>
          <t>VÄRMLANDS LÄN</t>
        </is>
      </c>
      <c r="E573" t="inlineStr">
        <is>
          <t>ÅRJÄNG</t>
        </is>
      </c>
      <c r="G573" t="n">
        <v>6.2</v>
      </c>
      <c r="H573" t="n">
        <v>0</v>
      </c>
      <c r="I573" t="n">
        <v>0</v>
      </c>
      <c r="J573" t="n">
        <v>0</v>
      </c>
      <c r="K573" t="n">
        <v>0</v>
      </c>
      <c r="L573" t="n">
        <v>0</v>
      </c>
      <c r="M573" t="n">
        <v>0</v>
      </c>
      <c r="N573" t="n">
        <v>0</v>
      </c>
      <c r="O573" t="n">
        <v>0</v>
      </c>
      <c r="P573" t="n">
        <v>0</v>
      </c>
      <c r="Q573" t="n">
        <v>0</v>
      </c>
      <c r="R573" s="2" t="inlineStr"/>
    </row>
    <row r="574" ht="15" customHeight="1">
      <c r="A574" t="inlineStr">
        <is>
          <t>A 35304-2025</t>
        </is>
      </c>
      <c r="B574" s="1" t="n">
        <v>45854.43931712963</v>
      </c>
      <c r="C574" s="1" t="n">
        <v>46051</v>
      </c>
      <c r="D574" t="inlineStr">
        <is>
          <t>VÄRMLANDS LÄN</t>
        </is>
      </c>
      <c r="E574" t="inlineStr">
        <is>
          <t>ÅRJÄNG</t>
        </is>
      </c>
      <c r="G574" t="n">
        <v>1.6</v>
      </c>
      <c r="H574" t="n">
        <v>0</v>
      </c>
      <c r="I574" t="n">
        <v>0</v>
      </c>
      <c r="J574" t="n">
        <v>0</v>
      </c>
      <c r="K574" t="n">
        <v>0</v>
      </c>
      <c r="L574" t="n">
        <v>0</v>
      </c>
      <c r="M574" t="n">
        <v>0</v>
      </c>
      <c r="N574" t="n">
        <v>0</v>
      </c>
      <c r="O574" t="n">
        <v>0</v>
      </c>
      <c r="P574" t="n">
        <v>0</v>
      </c>
      <c r="Q574" t="n">
        <v>0</v>
      </c>
      <c r="R574" s="2" t="inlineStr"/>
    </row>
    <row r="575" ht="15" customHeight="1">
      <c r="A575" t="inlineStr">
        <is>
          <t>A 34163-2025</t>
        </is>
      </c>
      <c r="B575" s="1" t="n">
        <v>45844</v>
      </c>
      <c r="C575" s="1" t="n">
        <v>46051</v>
      </c>
      <c r="D575" t="inlineStr">
        <is>
          <t>VÄRMLANDS LÄN</t>
        </is>
      </c>
      <c r="E575" t="inlineStr">
        <is>
          <t>ÅRJÄNG</t>
        </is>
      </c>
      <c r="G575" t="n">
        <v>4.5</v>
      </c>
      <c r="H575" t="n">
        <v>0</v>
      </c>
      <c r="I575" t="n">
        <v>0</v>
      </c>
      <c r="J575" t="n">
        <v>0</v>
      </c>
      <c r="K575" t="n">
        <v>0</v>
      </c>
      <c r="L575" t="n">
        <v>0</v>
      </c>
      <c r="M575" t="n">
        <v>0</v>
      </c>
      <c r="N575" t="n">
        <v>0</v>
      </c>
      <c r="O575" t="n">
        <v>0</v>
      </c>
      <c r="P575" t="n">
        <v>0</v>
      </c>
      <c r="Q575" t="n">
        <v>0</v>
      </c>
      <c r="R575" s="2" t="inlineStr"/>
    </row>
    <row r="576" ht="15" customHeight="1">
      <c r="A576" t="inlineStr">
        <is>
          <t>A 4135-2025</t>
        </is>
      </c>
      <c r="B576" s="1" t="n">
        <v>45685</v>
      </c>
      <c r="C576" s="1" t="n">
        <v>46051</v>
      </c>
      <c r="D576" t="inlineStr">
        <is>
          <t>VÄRMLANDS LÄN</t>
        </is>
      </c>
      <c r="E576" t="inlineStr">
        <is>
          <t>ÅRJÄNG</t>
        </is>
      </c>
      <c r="G576" t="n">
        <v>4.4</v>
      </c>
      <c r="H576" t="n">
        <v>0</v>
      </c>
      <c r="I576" t="n">
        <v>0</v>
      </c>
      <c r="J576" t="n">
        <v>0</v>
      </c>
      <c r="K576" t="n">
        <v>0</v>
      </c>
      <c r="L576" t="n">
        <v>0</v>
      </c>
      <c r="M576" t="n">
        <v>0</v>
      </c>
      <c r="N576" t="n">
        <v>0</v>
      </c>
      <c r="O576" t="n">
        <v>0</v>
      </c>
      <c r="P576" t="n">
        <v>0</v>
      </c>
      <c r="Q576" t="n">
        <v>0</v>
      </c>
      <c r="R576" s="2" t="inlineStr"/>
    </row>
    <row r="577" ht="15" customHeight="1">
      <c r="A577" t="inlineStr">
        <is>
          <t>A 34075-2025</t>
        </is>
      </c>
      <c r="B577" s="1" t="n">
        <v>45845</v>
      </c>
      <c r="C577" s="1" t="n">
        <v>46051</v>
      </c>
      <c r="D577" t="inlineStr">
        <is>
          <t>VÄRMLANDS LÄN</t>
        </is>
      </c>
      <c r="E577" t="inlineStr">
        <is>
          <t>ÅRJÄNG</t>
        </is>
      </c>
      <c r="G577" t="n">
        <v>3.4</v>
      </c>
      <c r="H577" t="n">
        <v>0</v>
      </c>
      <c r="I577" t="n">
        <v>0</v>
      </c>
      <c r="J577" t="n">
        <v>0</v>
      </c>
      <c r="K577" t="n">
        <v>0</v>
      </c>
      <c r="L577" t="n">
        <v>0</v>
      </c>
      <c r="M577" t="n">
        <v>0</v>
      </c>
      <c r="N577" t="n">
        <v>0</v>
      </c>
      <c r="O577" t="n">
        <v>0</v>
      </c>
      <c r="P577" t="n">
        <v>0</v>
      </c>
      <c r="Q577" t="n">
        <v>0</v>
      </c>
      <c r="R577" s="2" t="inlineStr"/>
    </row>
    <row r="578" ht="15" customHeight="1">
      <c r="A578" t="inlineStr">
        <is>
          <t>A 34159-2025</t>
        </is>
      </c>
      <c r="B578" s="1" t="n">
        <v>45844</v>
      </c>
      <c r="C578" s="1" t="n">
        <v>46051</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15718-2023</t>
        </is>
      </c>
      <c r="B579" s="1" t="n">
        <v>45021.55432870371</v>
      </c>
      <c r="C579" s="1" t="n">
        <v>46051</v>
      </c>
      <c r="D579" t="inlineStr">
        <is>
          <t>VÄRMLANDS LÄN</t>
        </is>
      </c>
      <c r="E579" t="inlineStr">
        <is>
          <t>ÅRJÄNG</t>
        </is>
      </c>
      <c r="G579" t="n">
        <v>2.9</v>
      </c>
      <c r="H579" t="n">
        <v>0</v>
      </c>
      <c r="I579" t="n">
        <v>0</v>
      </c>
      <c r="J579" t="n">
        <v>0</v>
      </c>
      <c r="K579" t="n">
        <v>0</v>
      </c>
      <c r="L579" t="n">
        <v>0</v>
      </c>
      <c r="M579" t="n">
        <v>0</v>
      </c>
      <c r="N579" t="n">
        <v>0</v>
      </c>
      <c r="O579" t="n">
        <v>0</v>
      </c>
      <c r="P579" t="n">
        <v>0</v>
      </c>
      <c r="Q579" t="n">
        <v>0</v>
      </c>
      <c r="R579" s="2" t="inlineStr"/>
    </row>
    <row r="580" ht="15" customHeight="1">
      <c r="A580" t="inlineStr">
        <is>
          <t>A 45907-2025</t>
        </is>
      </c>
      <c r="B580" s="1" t="n">
        <v>45923.70748842593</v>
      </c>
      <c r="C580" s="1" t="n">
        <v>46051</v>
      </c>
      <c r="D580" t="inlineStr">
        <is>
          <t>VÄRMLANDS LÄN</t>
        </is>
      </c>
      <c r="E580" t="inlineStr">
        <is>
          <t>ÅRJÄNG</t>
        </is>
      </c>
      <c r="G580" t="n">
        <v>2.9</v>
      </c>
      <c r="H580" t="n">
        <v>0</v>
      </c>
      <c r="I580" t="n">
        <v>0</v>
      </c>
      <c r="J580" t="n">
        <v>0</v>
      </c>
      <c r="K580" t="n">
        <v>0</v>
      </c>
      <c r="L580" t="n">
        <v>0</v>
      </c>
      <c r="M580" t="n">
        <v>0</v>
      </c>
      <c r="N580" t="n">
        <v>0</v>
      </c>
      <c r="O580" t="n">
        <v>0</v>
      </c>
      <c r="P580" t="n">
        <v>0</v>
      </c>
      <c r="Q580" t="n">
        <v>0</v>
      </c>
      <c r="R580" s="2" t="inlineStr"/>
    </row>
    <row r="581" ht="15" customHeight="1">
      <c r="A581" t="inlineStr">
        <is>
          <t>A 45906-2025</t>
        </is>
      </c>
      <c r="B581" s="1" t="n">
        <v>45923.70627314815</v>
      </c>
      <c r="C581" s="1" t="n">
        <v>46051</v>
      </c>
      <c r="D581" t="inlineStr">
        <is>
          <t>VÄRMLANDS LÄN</t>
        </is>
      </c>
      <c r="E581" t="inlineStr">
        <is>
          <t>ÅRJÄNG</t>
        </is>
      </c>
      <c r="G581" t="n">
        <v>3.1</v>
      </c>
      <c r="H581" t="n">
        <v>0</v>
      </c>
      <c r="I581" t="n">
        <v>0</v>
      </c>
      <c r="J581" t="n">
        <v>0</v>
      </c>
      <c r="K581" t="n">
        <v>0</v>
      </c>
      <c r="L581" t="n">
        <v>0</v>
      </c>
      <c r="M581" t="n">
        <v>0</v>
      </c>
      <c r="N581" t="n">
        <v>0</v>
      </c>
      <c r="O581" t="n">
        <v>0</v>
      </c>
      <c r="P581" t="n">
        <v>0</v>
      </c>
      <c r="Q581" t="n">
        <v>0</v>
      </c>
      <c r="R581" s="2" t="inlineStr"/>
    </row>
    <row r="582" ht="15" customHeight="1">
      <c r="A582" t="inlineStr">
        <is>
          <t>A 35414-2025</t>
        </is>
      </c>
      <c r="B582" s="1" t="n">
        <v>45855</v>
      </c>
      <c r="C582" s="1" t="n">
        <v>46051</v>
      </c>
      <c r="D582" t="inlineStr">
        <is>
          <t>VÄRMLANDS LÄN</t>
        </is>
      </c>
      <c r="E582" t="inlineStr">
        <is>
          <t>ÅRJÄNG</t>
        </is>
      </c>
      <c r="F582" t="inlineStr">
        <is>
          <t>Bergvik skog väst AB</t>
        </is>
      </c>
      <c r="G582" t="n">
        <v>6.8</v>
      </c>
      <c r="H582" t="n">
        <v>0</v>
      </c>
      <c r="I582" t="n">
        <v>0</v>
      </c>
      <c r="J582" t="n">
        <v>0</v>
      </c>
      <c r="K582" t="n">
        <v>0</v>
      </c>
      <c r="L582" t="n">
        <v>0</v>
      </c>
      <c r="M582" t="n">
        <v>0</v>
      </c>
      <c r="N582" t="n">
        <v>0</v>
      </c>
      <c r="O582" t="n">
        <v>0</v>
      </c>
      <c r="P582" t="n">
        <v>0</v>
      </c>
      <c r="Q582" t="n">
        <v>0</v>
      </c>
      <c r="R582" s="2" t="inlineStr"/>
    </row>
    <row r="583" ht="15" customHeight="1">
      <c r="A583" t="inlineStr">
        <is>
          <t>A 49780-2024</t>
        </is>
      </c>
      <c r="B583" s="1" t="n">
        <v>45597</v>
      </c>
      <c r="C583" s="1" t="n">
        <v>46051</v>
      </c>
      <c r="D583" t="inlineStr">
        <is>
          <t>VÄRMLANDS LÄN</t>
        </is>
      </c>
      <c r="E583" t="inlineStr">
        <is>
          <t>ÅRJÄNG</t>
        </is>
      </c>
      <c r="G583" t="n">
        <v>1.6</v>
      </c>
      <c r="H583" t="n">
        <v>0</v>
      </c>
      <c r="I583" t="n">
        <v>0</v>
      </c>
      <c r="J583" t="n">
        <v>0</v>
      </c>
      <c r="K583" t="n">
        <v>0</v>
      </c>
      <c r="L583" t="n">
        <v>0</v>
      </c>
      <c r="M583" t="n">
        <v>0</v>
      </c>
      <c r="N583" t="n">
        <v>0</v>
      </c>
      <c r="O583" t="n">
        <v>0</v>
      </c>
      <c r="P583" t="n">
        <v>0</v>
      </c>
      <c r="Q583" t="n">
        <v>0</v>
      </c>
      <c r="R583" s="2" t="inlineStr"/>
    </row>
    <row r="584" ht="15" customHeight="1">
      <c r="A584" t="inlineStr">
        <is>
          <t>A 48911-2024</t>
        </is>
      </c>
      <c r="B584" s="1" t="n">
        <v>45594.36512731481</v>
      </c>
      <c r="C584" s="1" t="n">
        <v>46051</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46301-2025</t>
        </is>
      </c>
      <c r="B585" s="1" t="n">
        <v>45925.41553240741</v>
      </c>
      <c r="C585" s="1" t="n">
        <v>46051</v>
      </c>
      <c r="D585" t="inlineStr">
        <is>
          <t>VÄRMLANDS LÄN</t>
        </is>
      </c>
      <c r="E585" t="inlineStr">
        <is>
          <t>ÅRJÄNG</t>
        </is>
      </c>
      <c r="G585" t="n">
        <v>3.8</v>
      </c>
      <c r="H585" t="n">
        <v>0</v>
      </c>
      <c r="I585" t="n">
        <v>0</v>
      </c>
      <c r="J585" t="n">
        <v>0</v>
      </c>
      <c r="K585" t="n">
        <v>0</v>
      </c>
      <c r="L585" t="n">
        <v>0</v>
      </c>
      <c r="M585" t="n">
        <v>0</v>
      </c>
      <c r="N585" t="n">
        <v>0</v>
      </c>
      <c r="O585" t="n">
        <v>0</v>
      </c>
      <c r="P585" t="n">
        <v>0</v>
      </c>
      <c r="Q585" t="n">
        <v>0</v>
      </c>
      <c r="R585" s="2" t="inlineStr"/>
    </row>
    <row r="586" ht="15" customHeight="1">
      <c r="A586" t="inlineStr">
        <is>
          <t>A 46645-2025</t>
        </is>
      </c>
      <c r="B586" s="1" t="n">
        <v>45926.47527777778</v>
      </c>
      <c r="C586" s="1" t="n">
        <v>46051</v>
      </c>
      <c r="D586" t="inlineStr">
        <is>
          <t>VÄRMLANDS LÄN</t>
        </is>
      </c>
      <c r="E586" t="inlineStr">
        <is>
          <t>ÅRJÄNG</t>
        </is>
      </c>
      <c r="G586" t="n">
        <v>2.8</v>
      </c>
      <c r="H586" t="n">
        <v>0</v>
      </c>
      <c r="I586" t="n">
        <v>0</v>
      </c>
      <c r="J586" t="n">
        <v>0</v>
      </c>
      <c r="K586" t="n">
        <v>0</v>
      </c>
      <c r="L586" t="n">
        <v>0</v>
      </c>
      <c r="M586" t="n">
        <v>0</v>
      </c>
      <c r="N586" t="n">
        <v>0</v>
      </c>
      <c r="O586" t="n">
        <v>0</v>
      </c>
      <c r="P586" t="n">
        <v>0</v>
      </c>
      <c r="Q586" t="n">
        <v>0</v>
      </c>
      <c r="R586" s="2" t="inlineStr"/>
    </row>
    <row r="587" ht="15" customHeight="1">
      <c r="A587" t="inlineStr">
        <is>
          <t>A 8215-2025</t>
        </is>
      </c>
      <c r="B587" s="1" t="n">
        <v>45708.44832175926</v>
      </c>
      <c r="C587" s="1" t="n">
        <v>46051</v>
      </c>
      <c r="D587" t="inlineStr">
        <is>
          <t>VÄRMLANDS LÄN</t>
        </is>
      </c>
      <c r="E587" t="inlineStr">
        <is>
          <t>ÅRJÄNG</t>
        </is>
      </c>
      <c r="G587" t="n">
        <v>1.9</v>
      </c>
      <c r="H587" t="n">
        <v>0</v>
      </c>
      <c r="I587" t="n">
        <v>0</v>
      </c>
      <c r="J587" t="n">
        <v>0</v>
      </c>
      <c r="K587" t="n">
        <v>0</v>
      </c>
      <c r="L587" t="n">
        <v>0</v>
      </c>
      <c r="M587" t="n">
        <v>0</v>
      </c>
      <c r="N587" t="n">
        <v>0</v>
      </c>
      <c r="O587" t="n">
        <v>0</v>
      </c>
      <c r="P587" t="n">
        <v>0</v>
      </c>
      <c r="Q587" t="n">
        <v>0</v>
      </c>
      <c r="R587" s="2" t="inlineStr"/>
    </row>
    <row r="588" ht="15" customHeight="1">
      <c r="A588" t="inlineStr">
        <is>
          <t>A 8230-2025</t>
        </is>
      </c>
      <c r="B588" s="1" t="n">
        <v>45708.47010416666</v>
      </c>
      <c r="C588" s="1" t="n">
        <v>46051</v>
      </c>
      <c r="D588" t="inlineStr">
        <is>
          <t>VÄRMLANDS LÄN</t>
        </is>
      </c>
      <c r="E588" t="inlineStr">
        <is>
          <t>ÅRJÄNG</t>
        </is>
      </c>
      <c r="G588" t="n">
        <v>2.5</v>
      </c>
      <c r="H588" t="n">
        <v>0</v>
      </c>
      <c r="I588" t="n">
        <v>0</v>
      </c>
      <c r="J588" t="n">
        <v>0</v>
      </c>
      <c r="K588" t="n">
        <v>0</v>
      </c>
      <c r="L588" t="n">
        <v>0</v>
      </c>
      <c r="M588" t="n">
        <v>0</v>
      </c>
      <c r="N588" t="n">
        <v>0</v>
      </c>
      <c r="O588" t="n">
        <v>0</v>
      </c>
      <c r="P588" t="n">
        <v>0</v>
      </c>
      <c r="Q588" t="n">
        <v>0</v>
      </c>
      <c r="R588" s="2" t="inlineStr"/>
    </row>
    <row r="589" ht="15" customHeight="1">
      <c r="A589" t="inlineStr">
        <is>
          <t>A 60903-2023</t>
        </is>
      </c>
      <c r="B589" s="1" t="n">
        <v>45261</v>
      </c>
      <c r="C589" s="1" t="n">
        <v>46051</v>
      </c>
      <c r="D589" t="inlineStr">
        <is>
          <t>VÄRMLANDS LÄN</t>
        </is>
      </c>
      <c r="E589" t="inlineStr">
        <is>
          <t>ÅRJÄNG</t>
        </is>
      </c>
      <c r="G589" t="n">
        <v>2.1</v>
      </c>
      <c r="H589" t="n">
        <v>0</v>
      </c>
      <c r="I589" t="n">
        <v>0</v>
      </c>
      <c r="J589" t="n">
        <v>0</v>
      </c>
      <c r="K589" t="n">
        <v>0</v>
      </c>
      <c r="L589" t="n">
        <v>0</v>
      </c>
      <c r="M589" t="n">
        <v>0</v>
      </c>
      <c r="N589" t="n">
        <v>0</v>
      </c>
      <c r="O589" t="n">
        <v>0</v>
      </c>
      <c r="P589" t="n">
        <v>0</v>
      </c>
      <c r="Q589" t="n">
        <v>0</v>
      </c>
      <c r="R589" s="2" t="inlineStr"/>
    </row>
    <row r="590" ht="15" customHeight="1">
      <c r="A590" t="inlineStr">
        <is>
          <t>A 40346-2024</t>
        </is>
      </c>
      <c r="B590" s="1" t="n">
        <v>45555.34840277778</v>
      </c>
      <c r="C590" s="1" t="n">
        <v>46051</v>
      </c>
      <c r="D590" t="inlineStr">
        <is>
          <t>VÄRMLANDS LÄN</t>
        </is>
      </c>
      <c r="E590" t="inlineStr">
        <is>
          <t>ÅRJÄNG</t>
        </is>
      </c>
      <c r="G590" t="n">
        <v>2.5</v>
      </c>
      <c r="H590" t="n">
        <v>0</v>
      </c>
      <c r="I590" t="n">
        <v>0</v>
      </c>
      <c r="J590" t="n">
        <v>0</v>
      </c>
      <c r="K590" t="n">
        <v>0</v>
      </c>
      <c r="L590" t="n">
        <v>0</v>
      </c>
      <c r="M590" t="n">
        <v>0</v>
      </c>
      <c r="N590" t="n">
        <v>0</v>
      </c>
      <c r="O590" t="n">
        <v>0</v>
      </c>
      <c r="P590" t="n">
        <v>0</v>
      </c>
      <c r="Q590" t="n">
        <v>0</v>
      </c>
      <c r="R590" s="2" t="inlineStr"/>
    </row>
    <row r="591" ht="15" customHeight="1">
      <c r="A591" t="inlineStr">
        <is>
          <t>A 35869-2025</t>
        </is>
      </c>
      <c r="B591" s="1" t="n">
        <v>45862</v>
      </c>
      <c r="C591" s="1" t="n">
        <v>46051</v>
      </c>
      <c r="D591" t="inlineStr">
        <is>
          <t>VÄRMLANDS LÄN</t>
        </is>
      </c>
      <c r="E591" t="inlineStr">
        <is>
          <t>ÅRJÄNG</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48805-2022</t>
        </is>
      </c>
      <c r="B592" s="1" t="n">
        <v>44854</v>
      </c>
      <c r="C592" s="1" t="n">
        <v>46051</v>
      </c>
      <c r="D592" t="inlineStr">
        <is>
          <t>VÄRMLANDS LÄN</t>
        </is>
      </c>
      <c r="E592" t="inlineStr">
        <is>
          <t>ÅRJÄNG</t>
        </is>
      </c>
      <c r="G592" t="n">
        <v>4</v>
      </c>
      <c r="H592" t="n">
        <v>0</v>
      </c>
      <c r="I592" t="n">
        <v>0</v>
      </c>
      <c r="J592" t="n">
        <v>0</v>
      </c>
      <c r="K592" t="n">
        <v>0</v>
      </c>
      <c r="L592" t="n">
        <v>0</v>
      </c>
      <c r="M592" t="n">
        <v>0</v>
      </c>
      <c r="N592" t="n">
        <v>0</v>
      </c>
      <c r="O592" t="n">
        <v>0</v>
      </c>
      <c r="P592" t="n">
        <v>0</v>
      </c>
      <c r="Q592" t="n">
        <v>0</v>
      </c>
      <c r="R592" s="2" t="inlineStr"/>
    </row>
    <row r="593" ht="15" customHeight="1">
      <c r="A593" t="inlineStr">
        <is>
          <t>A 36143-2025</t>
        </is>
      </c>
      <c r="B593" s="1" t="n">
        <v>45866.68708333333</v>
      </c>
      <c r="C593" s="1" t="n">
        <v>46051</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49785-2024</t>
        </is>
      </c>
      <c r="B594" s="1" t="n">
        <v>45597.35758101852</v>
      </c>
      <c r="C594" s="1" t="n">
        <v>46051</v>
      </c>
      <c r="D594" t="inlineStr">
        <is>
          <t>VÄRMLANDS LÄN</t>
        </is>
      </c>
      <c r="E594" t="inlineStr">
        <is>
          <t>ÅRJÄNG</t>
        </is>
      </c>
      <c r="G594" t="n">
        <v>0.6</v>
      </c>
      <c r="H594" t="n">
        <v>0</v>
      </c>
      <c r="I594" t="n">
        <v>0</v>
      </c>
      <c r="J594" t="n">
        <v>0</v>
      </c>
      <c r="K594" t="n">
        <v>0</v>
      </c>
      <c r="L594" t="n">
        <v>0</v>
      </c>
      <c r="M594" t="n">
        <v>0</v>
      </c>
      <c r="N594" t="n">
        <v>0</v>
      </c>
      <c r="O594" t="n">
        <v>0</v>
      </c>
      <c r="P594" t="n">
        <v>0</v>
      </c>
      <c r="Q594" t="n">
        <v>0</v>
      </c>
      <c r="R594" s="2" t="inlineStr"/>
    </row>
    <row r="595" ht="15" customHeight="1">
      <c r="A595" t="inlineStr">
        <is>
          <t>A 47225-2025</t>
        </is>
      </c>
      <c r="B595" s="1" t="n">
        <v>45930.39145833333</v>
      </c>
      <c r="C595" s="1" t="n">
        <v>46051</v>
      </c>
      <c r="D595" t="inlineStr">
        <is>
          <t>VÄRMLANDS LÄN</t>
        </is>
      </c>
      <c r="E595" t="inlineStr">
        <is>
          <t>ÅRJÄNG</t>
        </is>
      </c>
      <c r="G595" t="n">
        <v>1.9</v>
      </c>
      <c r="H595" t="n">
        <v>0</v>
      </c>
      <c r="I595" t="n">
        <v>0</v>
      </c>
      <c r="J595" t="n">
        <v>0</v>
      </c>
      <c r="K595" t="n">
        <v>0</v>
      </c>
      <c r="L595" t="n">
        <v>0</v>
      </c>
      <c r="M595" t="n">
        <v>0</v>
      </c>
      <c r="N595" t="n">
        <v>0</v>
      </c>
      <c r="O595" t="n">
        <v>0</v>
      </c>
      <c r="P595" t="n">
        <v>0</v>
      </c>
      <c r="Q595" t="n">
        <v>0</v>
      </c>
      <c r="R595" s="2" t="inlineStr"/>
    </row>
    <row r="596" ht="15" customHeight="1">
      <c r="A596" t="inlineStr">
        <is>
          <t>A 47426-2025</t>
        </is>
      </c>
      <c r="B596" s="1" t="n">
        <v>45930.63482638889</v>
      </c>
      <c r="C596" s="1" t="n">
        <v>46051</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10239-2023</t>
        </is>
      </c>
      <c r="B597" s="1" t="n">
        <v>44986</v>
      </c>
      <c r="C597" s="1" t="n">
        <v>46051</v>
      </c>
      <c r="D597" t="inlineStr">
        <is>
          <t>VÄRMLANDS LÄN</t>
        </is>
      </c>
      <c r="E597" t="inlineStr">
        <is>
          <t>ÅRJÄNG</t>
        </is>
      </c>
      <c r="G597" t="n">
        <v>5.4</v>
      </c>
      <c r="H597" t="n">
        <v>0</v>
      </c>
      <c r="I597" t="n">
        <v>0</v>
      </c>
      <c r="J597" t="n">
        <v>0</v>
      </c>
      <c r="K597" t="n">
        <v>0</v>
      </c>
      <c r="L597" t="n">
        <v>0</v>
      </c>
      <c r="M597" t="n">
        <v>0</v>
      </c>
      <c r="N597" t="n">
        <v>0</v>
      </c>
      <c r="O597" t="n">
        <v>0</v>
      </c>
      <c r="P597" t="n">
        <v>0</v>
      </c>
      <c r="Q597" t="n">
        <v>0</v>
      </c>
      <c r="R597" s="2" t="inlineStr"/>
    </row>
    <row r="598" ht="15" customHeight="1">
      <c r="A598" t="inlineStr">
        <is>
          <t>A 47211-2025</t>
        </is>
      </c>
      <c r="B598" s="1" t="n">
        <v>45930.3815625</v>
      </c>
      <c r="C598" s="1" t="n">
        <v>46051</v>
      </c>
      <c r="D598" t="inlineStr">
        <is>
          <t>VÄRMLANDS LÄN</t>
        </is>
      </c>
      <c r="E598" t="inlineStr">
        <is>
          <t>ÅRJÄNG</t>
        </is>
      </c>
      <c r="G598" t="n">
        <v>1.1</v>
      </c>
      <c r="H598" t="n">
        <v>0</v>
      </c>
      <c r="I598" t="n">
        <v>0</v>
      </c>
      <c r="J598" t="n">
        <v>0</v>
      </c>
      <c r="K598" t="n">
        <v>0</v>
      </c>
      <c r="L598" t="n">
        <v>0</v>
      </c>
      <c r="M598" t="n">
        <v>0</v>
      </c>
      <c r="N598" t="n">
        <v>0</v>
      </c>
      <c r="O598" t="n">
        <v>0</v>
      </c>
      <c r="P598" t="n">
        <v>0</v>
      </c>
      <c r="Q598" t="n">
        <v>0</v>
      </c>
      <c r="R598" s="2" t="inlineStr"/>
    </row>
    <row r="599" ht="15" customHeight="1">
      <c r="A599" t="inlineStr">
        <is>
          <t>A 46023-2025</t>
        </is>
      </c>
      <c r="B599" s="1" t="n">
        <v>45924</v>
      </c>
      <c r="C599" s="1" t="n">
        <v>46051</v>
      </c>
      <c r="D599" t="inlineStr">
        <is>
          <t>VÄRMLANDS LÄN</t>
        </is>
      </c>
      <c r="E599" t="inlineStr">
        <is>
          <t>ÅRJÄNG</t>
        </is>
      </c>
      <c r="G599" t="n">
        <v>1.6</v>
      </c>
      <c r="H599" t="n">
        <v>0</v>
      </c>
      <c r="I599" t="n">
        <v>0</v>
      </c>
      <c r="J599" t="n">
        <v>0</v>
      </c>
      <c r="K599" t="n">
        <v>0</v>
      </c>
      <c r="L599" t="n">
        <v>0</v>
      </c>
      <c r="M599" t="n">
        <v>0</v>
      </c>
      <c r="N599" t="n">
        <v>0</v>
      </c>
      <c r="O599" t="n">
        <v>0</v>
      </c>
      <c r="P599" t="n">
        <v>0</v>
      </c>
      <c r="Q599" t="n">
        <v>0</v>
      </c>
      <c r="R599" s="2" t="inlineStr"/>
    </row>
    <row r="600" ht="15" customHeight="1">
      <c r="A600" t="inlineStr">
        <is>
          <t>A 45994-2025</t>
        </is>
      </c>
      <c r="B600" s="1" t="n">
        <v>45924</v>
      </c>
      <c r="C600" s="1" t="n">
        <v>46051</v>
      </c>
      <c r="D600" t="inlineStr">
        <is>
          <t>VÄRMLANDS LÄN</t>
        </is>
      </c>
      <c r="E600" t="inlineStr">
        <is>
          <t>ÅRJÄNG</t>
        </is>
      </c>
      <c r="G600" t="n">
        <v>4</v>
      </c>
      <c r="H600" t="n">
        <v>0</v>
      </c>
      <c r="I600" t="n">
        <v>0</v>
      </c>
      <c r="J600" t="n">
        <v>0</v>
      </c>
      <c r="K600" t="n">
        <v>0</v>
      </c>
      <c r="L600" t="n">
        <v>0</v>
      </c>
      <c r="M600" t="n">
        <v>0</v>
      </c>
      <c r="N600" t="n">
        <v>0</v>
      </c>
      <c r="O600" t="n">
        <v>0</v>
      </c>
      <c r="P600" t="n">
        <v>0</v>
      </c>
      <c r="Q600" t="n">
        <v>0</v>
      </c>
      <c r="R600" s="2" t="inlineStr"/>
    </row>
    <row r="601" ht="15" customHeight="1">
      <c r="A601" t="inlineStr">
        <is>
          <t>A 46942-2025</t>
        </is>
      </c>
      <c r="B601" s="1" t="n">
        <v>45929.45822916667</v>
      </c>
      <c r="C601" s="1" t="n">
        <v>46051</v>
      </c>
      <c r="D601" t="inlineStr">
        <is>
          <t>VÄRMLANDS LÄN</t>
        </is>
      </c>
      <c r="E601" t="inlineStr">
        <is>
          <t>ÅRJÄNG</t>
        </is>
      </c>
      <c r="G601" t="n">
        <v>0.4</v>
      </c>
      <c r="H601" t="n">
        <v>0</v>
      </c>
      <c r="I601" t="n">
        <v>0</v>
      </c>
      <c r="J601" t="n">
        <v>0</v>
      </c>
      <c r="K601" t="n">
        <v>0</v>
      </c>
      <c r="L601" t="n">
        <v>0</v>
      </c>
      <c r="M601" t="n">
        <v>0</v>
      </c>
      <c r="N601" t="n">
        <v>0</v>
      </c>
      <c r="O601" t="n">
        <v>0</v>
      </c>
      <c r="P601" t="n">
        <v>0</v>
      </c>
      <c r="Q601" t="n">
        <v>0</v>
      </c>
      <c r="R601" s="2" t="inlineStr"/>
    </row>
    <row r="602" ht="15" customHeight="1">
      <c r="A602" t="inlineStr">
        <is>
          <t>A 29792-2022</t>
        </is>
      </c>
      <c r="B602" s="1" t="n">
        <v>44755.67122685185</v>
      </c>
      <c r="C602" s="1" t="n">
        <v>46051</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47007-2025</t>
        </is>
      </c>
      <c r="B603" s="1" t="n">
        <v>45929.56689814815</v>
      </c>
      <c r="C603" s="1" t="n">
        <v>46051</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30346-2022</t>
        </is>
      </c>
      <c r="B604" s="1" t="n">
        <v>44760.55734953703</v>
      </c>
      <c r="C604" s="1" t="n">
        <v>46051</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47112-2025</t>
        </is>
      </c>
      <c r="B605" s="1" t="n">
        <v>45929.66966435185</v>
      </c>
      <c r="C605" s="1" t="n">
        <v>46051</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10126-2023</t>
        </is>
      </c>
      <c r="B606" s="1" t="n">
        <v>44980</v>
      </c>
      <c r="C606" s="1" t="n">
        <v>46051</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47695-2025</t>
        </is>
      </c>
      <c r="B607" s="1" t="n">
        <v>45931.59943287037</v>
      </c>
      <c r="C607" s="1" t="n">
        <v>46051</v>
      </c>
      <c r="D607" t="inlineStr">
        <is>
          <t>VÄRMLANDS LÄN</t>
        </is>
      </c>
      <c r="E607" t="inlineStr">
        <is>
          <t>ÅRJÄNG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34889-2022</t>
        </is>
      </c>
      <c r="B608" s="1" t="n">
        <v>44796</v>
      </c>
      <c r="C608" s="1" t="n">
        <v>46051</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14310-2022</t>
        </is>
      </c>
      <c r="B609" s="1" t="n">
        <v>44652</v>
      </c>
      <c r="C609" s="1" t="n">
        <v>46051</v>
      </c>
      <c r="D609" t="inlineStr">
        <is>
          <t>VÄRMLANDS LÄN</t>
        </is>
      </c>
      <c r="E609" t="inlineStr">
        <is>
          <t>ÅRJÄNG</t>
        </is>
      </c>
      <c r="G609" t="n">
        <v>2.5</v>
      </c>
      <c r="H609" t="n">
        <v>0</v>
      </c>
      <c r="I609" t="n">
        <v>0</v>
      </c>
      <c r="J609" t="n">
        <v>0</v>
      </c>
      <c r="K609" t="n">
        <v>0</v>
      </c>
      <c r="L609" t="n">
        <v>0</v>
      </c>
      <c r="M609" t="n">
        <v>0</v>
      </c>
      <c r="N609" t="n">
        <v>0</v>
      </c>
      <c r="O609" t="n">
        <v>0</v>
      </c>
      <c r="P609" t="n">
        <v>0</v>
      </c>
      <c r="Q609" t="n">
        <v>0</v>
      </c>
      <c r="R609" s="2" t="inlineStr"/>
    </row>
    <row r="610" ht="15" customHeight="1">
      <c r="A610" t="inlineStr">
        <is>
          <t>A 47604-2025</t>
        </is>
      </c>
      <c r="B610" s="1" t="n">
        <v>45931.46254629629</v>
      </c>
      <c r="C610" s="1" t="n">
        <v>46051</v>
      </c>
      <c r="D610" t="inlineStr">
        <is>
          <t>VÄRMLANDS LÄN</t>
        </is>
      </c>
      <c r="E610" t="inlineStr">
        <is>
          <t>ÅRJÄNG</t>
        </is>
      </c>
      <c r="G610" t="n">
        <v>0.4</v>
      </c>
      <c r="H610" t="n">
        <v>0</v>
      </c>
      <c r="I610" t="n">
        <v>0</v>
      </c>
      <c r="J610" t="n">
        <v>0</v>
      </c>
      <c r="K610" t="n">
        <v>0</v>
      </c>
      <c r="L610" t="n">
        <v>0</v>
      </c>
      <c r="M610" t="n">
        <v>0</v>
      </c>
      <c r="N610" t="n">
        <v>0</v>
      </c>
      <c r="O610" t="n">
        <v>0</v>
      </c>
      <c r="P610" t="n">
        <v>0</v>
      </c>
      <c r="Q610" t="n">
        <v>0</v>
      </c>
      <c r="R610" s="2" t="inlineStr"/>
    </row>
    <row r="611" ht="15" customHeight="1">
      <c r="A611" t="inlineStr">
        <is>
          <t>A 36461-2025</t>
        </is>
      </c>
      <c r="B611" s="1" t="n">
        <v>45869</v>
      </c>
      <c r="C611" s="1" t="n">
        <v>46051</v>
      </c>
      <c r="D611" t="inlineStr">
        <is>
          <t>VÄRMLANDS LÄN</t>
        </is>
      </c>
      <c r="E611" t="inlineStr">
        <is>
          <t>ÅRJÄNG</t>
        </is>
      </c>
      <c r="G611" t="n">
        <v>3.7</v>
      </c>
      <c r="H611" t="n">
        <v>0</v>
      </c>
      <c r="I611" t="n">
        <v>0</v>
      </c>
      <c r="J611" t="n">
        <v>0</v>
      </c>
      <c r="K611" t="n">
        <v>0</v>
      </c>
      <c r="L611" t="n">
        <v>0</v>
      </c>
      <c r="M611" t="n">
        <v>0</v>
      </c>
      <c r="N611" t="n">
        <v>0</v>
      </c>
      <c r="O611" t="n">
        <v>0</v>
      </c>
      <c r="P611" t="n">
        <v>0</v>
      </c>
      <c r="Q611" t="n">
        <v>0</v>
      </c>
      <c r="R611" s="2" t="inlineStr"/>
    </row>
    <row r="612" ht="15" customHeight="1">
      <c r="A612" t="inlineStr">
        <is>
          <t>A 47502-2025</t>
        </is>
      </c>
      <c r="B612" s="1" t="n">
        <v>45930.85274305556</v>
      </c>
      <c r="C612" s="1" t="n">
        <v>46051</v>
      </c>
      <c r="D612" t="inlineStr">
        <is>
          <t>VÄRMLANDS LÄN</t>
        </is>
      </c>
      <c r="E612" t="inlineStr">
        <is>
          <t>ÅRJÄNG</t>
        </is>
      </c>
      <c r="G612" t="n">
        <v>10.5</v>
      </c>
      <c r="H612" t="n">
        <v>0</v>
      </c>
      <c r="I612" t="n">
        <v>0</v>
      </c>
      <c r="J612" t="n">
        <v>0</v>
      </c>
      <c r="K612" t="n">
        <v>0</v>
      </c>
      <c r="L612" t="n">
        <v>0</v>
      </c>
      <c r="M612" t="n">
        <v>0</v>
      </c>
      <c r="N612" t="n">
        <v>0</v>
      </c>
      <c r="O612" t="n">
        <v>0</v>
      </c>
      <c r="P612" t="n">
        <v>0</v>
      </c>
      <c r="Q612" t="n">
        <v>0</v>
      </c>
      <c r="R612" s="2" t="inlineStr"/>
    </row>
    <row r="613" ht="15" customHeight="1">
      <c r="A613" t="inlineStr">
        <is>
          <t>A 36450-2025</t>
        </is>
      </c>
      <c r="B613" s="1" t="n">
        <v>45869</v>
      </c>
      <c r="C613" s="1" t="n">
        <v>46051</v>
      </c>
      <c r="D613" t="inlineStr">
        <is>
          <t>VÄRMLANDS LÄN</t>
        </is>
      </c>
      <c r="E613" t="inlineStr">
        <is>
          <t>ÅRJÄNG</t>
        </is>
      </c>
      <c r="G613" t="n">
        <v>4.6</v>
      </c>
      <c r="H613" t="n">
        <v>0</v>
      </c>
      <c r="I613" t="n">
        <v>0</v>
      </c>
      <c r="J613" t="n">
        <v>0</v>
      </c>
      <c r="K613" t="n">
        <v>0</v>
      </c>
      <c r="L613" t="n">
        <v>0</v>
      </c>
      <c r="M613" t="n">
        <v>0</v>
      </c>
      <c r="N613" t="n">
        <v>0</v>
      </c>
      <c r="O613" t="n">
        <v>0</v>
      </c>
      <c r="P613" t="n">
        <v>0</v>
      </c>
      <c r="Q613" t="n">
        <v>0</v>
      </c>
      <c r="R613" s="2" t="inlineStr"/>
    </row>
    <row r="614" ht="15" customHeight="1">
      <c r="A614" t="inlineStr">
        <is>
          <t>A 47629-2025</t>
        </is>
      </c>
      <c r="B614" s="1" t="n">
        <v>45931</v>
      </c>
      <c r="C614" s="1" t="n">
        <v>46051</v>
      </c>
      <c r="D614" t="inlineStr">
        <is>
          <t>VÄRMLANDS LÄN</t>
        </is>
      </c>
      <c r="E614" t="inlineStr">
        <is>
          <t>ÅRJÄNG</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14917-2024</t>
        </is>
      </c>
      <c r="B615" s="1" t="n">
        <v>45398</v>
      </c>
      <c r="C615" s="1" t="n">
        <v>46051</v>
      </c>
      <c r="D615" t="inlineStr">
        <is>
          <t>VÄRMLANDS LÄN</t>
        </is>
      </c>
      <c r="E615" t="inlineStr">
        <is>
          <t>ÅRJÄNG</t>
        </is>
      </c>
      <c r="G615" t="n">
        <v>19.9</v>
      </c>
      <c r="H615" t="n">
        <v>0</v>
      </c>
      <c r="I615" t="n">
        <v>0</v>
      </c>
      <c r="J615" t="n">
        <v>0</v>
      </c>
      <c r="K615" t="n">
        <v>0</v>
      </c>
      <c r="L615" t="n">
        <v>0</v>
      </c>
      <c r="M615" t="n">
        <v>0</v>
      </c>
      <c r="N615" t="n">
        <v>0</v>
      </c>
      <c r="O615" t="n">
        <v>0</v>
      </c>
      <c r="P615" t="n">
        <v>0</v>
      </c>
      <c r="Q615" t="n">
        <v>0</v>
      </c>
      <c r="R615" s="2" t="inlineStr"/>
    </row>
    <row r="616" ht="15" customHeight="1">
      <c r="A616" t="inlineStr">
        <is>
          <t>A 53793-2024</t>
        </is>
      </c>
      <c r="B616" s="1" t="n">
        <v>45615</v>
      </c>
      <c r="C616" s="1" t="n">
        <v>46051</v>
      </c>
      <c r="D616" t="inlineStr">
        <is>
          <t>VÄRMLANDS LÄN</t>
        </is>
      </c>
      <c r="E616" t="inlineStr">
        <is>
          <t>ÅRJÄNG</t>
        </is>
      </c>
      <c r="G616" t="n">
        <v>4.9</v>
      </c>
      <c r="H616" t="n">
        <v>0</v>
      </c>
      <c r="I616" t="n">
        <v>0</v>
      </c>
      <c r="J616" t="n">
        <v>0</v>
      </c>
      <c r="K616" t="n">
        <v>0</v>
      </c>
      <c r="L616" t="n">
        <v>0</v>
      </c>
      <c r="M616" t="n">
        <v>0</v>
      </c>
      <c r="N616" t="n">
        <v>0</v>
      </c>
      <c r="O616" t="n">
        <v>0</v>
      </c>
      <c r="P616" t="n">
        <v>0</v>
      </c>
      <c r="Q616" t="n">
        <v>0</v>
      </c>
      <c r="R616" s="2" t="inlineStr"/>
    </row>
    <row r="617" ht="15" customHeight="1">
      <c r="A617" t="inlineStr">
        <is>
          <t>A 47572-2025</t>
        </is>
      </c>
      <c r="B617" s="1" t="n">
        <v>45931.39658564814</v>
      </c>
      <c r="C617" s="1" t="n">
        <v>46051</v>
      </c>
      <c r="D617" t="inlineStr">
        <is>
          <t>VÄRMLANDS LÄN</t>
        </is>
      </c>
      <c r="E617" t="inlineStr">
        <is>
          <t>ÅRJÄNG</t>
        </is>
      </c>
      <c r="G617" t="n">
        <v>0.7</v>
      </c>
      <c r="H617" t="n">
        <v>0</v>
      </c>
      <c r="I617" t="n">
        <v>0</v>
      </c>
      <c r="J617" t="n">
        <v>0</v>
      </c>
      <c r="K617" t="n">
        <v>0</v>
      </c>
      <c r="L617" t="n">
        <v>0</v>
      </c>
      <c r="M617" t="n">
        <v>0</v>
      </c>
      <c r="N617" t="n">
        <v>0</v>
      </c>
      <c r="O617" t="n">
        <v>0</v>
      </c>
      <c r="P617" t="n">
        <v>0</v>
      </c>
      <c r="Q617" t="n">
        <v>0</v>
      </c>
      <c r="R617" s="2" t="inlineStr"/>
    </row>
    <row r="618" ht="15" customHeight="1">
      <c r="A618" t="inlineStr">
        <is>
          <t>A 47623-2025</t>
        </is>
      </c>
      <c r="B618" s="1" t="n">
        <v>45931</v>
      </c>
      <c r="C618" s="1" t="n">
        <v>46051</v>
      </c>
      <c r="D618" t="inlineStr">
        <is>
          <t>VÄRMLANDS LÄN</t>
        </is>
      </c>
      <c r="E618" t="inlineStr">
        <is>
          <t>ÅRJÄNG</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48206-2025</t>
        </is>
      </c>
      <c r="B619" s="1" t="n">
        <v>45933.4884837963</v>
      </c>
      <c r="C619" s="1" t="n">
        <v>46051</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36819-2025</t>
        </is>
      </c>
      <c r="B620" s="1" t="n">
        <v>45873.84164351852</v>
      </c>
      <c r="C620" s="1" t="n">
        <v>46051</v>
      </c>
      <c r="D620" t="inlineStr">
        <is>
          <t>VÄRMLANDS LÄN</t>
        </is>
      </c>
      <c r="E620" t="inlineStr">
        <is>
          <t>ÅRJÄNG</t>
        </is>
      </c>
      <c r="G620" t="n">
        <v>2.3</v>
      </c>
      <c r="H620" t="n">
        <v>0</v>
      </c>
      <c r="I620" t="n">
        <v>0</v>
      </c>
      <c r="J620" t="n">
        <v>0</v>
      </c>
      <c r="K620" t="n">
        <v>0</v>
      </c>
      <c r="L620" t="n">
        <v>0</v>
      </c>
      <c r="M620" t="n">
        <v>0</v>
      </c>
      <c r="N620" t="n">
        <v>0</v>
      </c>
      <c r="O620" t="n">
        <v>0</v>
      </c>
      <c r="P620" t="n">
        <v>0</v>
      </c>
      <c r="Q620" t="n">
        <v>0</v>
      </c>
      <c r="R620" s="2" t="inlineStr"/>
    </row>
    <row r="621" ht="15" customHeight="1">
      <c r="A621" t="inlineStr">
        <is>
          <t>A 36834-2025</t>
        </is>
      </c>
      <c r="B621" s="1" t="n">
        <v>45874.35965277778</v>
      </c>
      <c r="C621" s="1" t="n">
        <v>46051</v>
      </c>
      <c r="D621" t="inlineStr">
        <is>
          <t>VÄRMLANDS LÄN</t>
        </is>
      </c>
      <c r="E621" t="inlineStr">
        <is>
          <t>ÅRJÄNG</t>
        </is>
      </c>
      <c r="G621" t="n">
        <v>2.9</v>
      </c>
      <c r="H621" t="n">
        <v>0</v>
      </c>
      <c r="I621" t="n">
        <v>0</v>
      </c>
      <c r="J621" t="n">
        <v>0</v>
      </c>
      <c r="K621" t="n">
        <v>0</v>
      </c>
      <c r="L621" t="n">
        <v>0</v>
      </c>
      <c r="M621" t="n">
        <v>0</v>
      </c>
      <c r="N621" t="n">
        <v>0</v>
      </c>
      <c r="O621" t="n">
        <v>0</v>
      </c>
      <c r="P621" t="n">
        <v>0</v>
      </c>
      <c r="Q621" t="n">
        <v>0</v>
      </c>
      <c r="R621" s="2" t="inlineStr"/>
    </row>
    <row r="622" ht="15" customHeight="1">
      <c r="A622" t="inlineStr">
        <is>
          <t>A 15537-2024</t>
        </is>
      </c>
      <c r="B622" s="1" t="n">
        <v>45401</v>
      </c>
      <c r="C622" s="1" t="n">
        <v>46051</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60975-2022</t>
        </is>
      </c>
      <c r="B623" s="1" t="n">
        <v>44914</v>
      </c>
      <c r="C623" s="1" t="n">
        <v>46051</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39156-2024</t>
        </is>
      </c>
      <c r="B624" s="1" t="n">
        <v>45548.62956018518</v>
      </c>
      <c r="C624" s="1" t="n">
        <v>46051</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36752-2025</t>
        </is>
      </c>
      <c r="B625" s="1" t="n">
        <v>45873</v>
      </c>
      <c r="C625" s="1" t="n">
        <v>46051</v>
      </c>
      <c r="D625" t="inlineStr">
        <is>
          <t>VÄRMLANDS LÄN</t>
        </is>
      </c>
      <c r="E625" t="inlineStr">
        <is>
          <t>ÅRJÄNG</t>
        </is>
      </c>
      <c r="G625" t="n">
        <v>1.7</v>
      </c>
      <c r="H625" t="n">
        <v>0</v>
      </c>
      <c r="I625" t="n">
        <v>0</v>
      </c>
      <c r="J625" t="n">
        <v>0</v>
      </c>
      <c r="K625" t="n">
        <v>0</v>
      </c>
      <c r="L625" t="n">
        <v>0</v>
      </c>
      <c r="M625" t="n">
        <v>0</v>
      </c>
      <c r="N625" t="n">
        <v>0</v>
      </c>
      <c r="O625" t="n">
        <v>0</v>
      </c>
      <c r="P625" t="n">
        <v>0</v>
      </c>
      <c r="Q625" t="n">
        <v>0</v>
      </c>
      <c r="R625" s="2" t="inlineStr"/>
    </row>
    <row r="626" ht="15" customHeight="1">
      <c r="A626" t="inlineStr">
        <is>
          <t>A 36857-2025</t>
        </is>
      </c>
      <c r="B626" s="1" t="n">
        <v>45874.40488425926</v>
      </c>
      <c r="C626" s="1" t="n">
        <v>46051</v>
      </c>
      <c r="D626" t="inlineStr">
        <is>
          <t>VÄRMLANDS LÄN</t>
        </is>
      </c>
      <c r="E626" t="inlineStr">
        <is>
          <t>ÅRJÄNG</t>
        </is>
      </c>
      <c r="G626" t="n">
        <v>5.2</v>
      </c>
      <c r="H626" t="n">
        <v>0</v>
      </c>
      <c r="I626" t="n">
        <v>0</v>
      </c>
      <c r="J626" t="n">
        <v>0</v>
      </c>
      <c r="K626" t="n">
        <v>0</v>
      </c>
      <c r="L626" t="n">
        <v>0</v>
      </c>
      <c r="M626" t="n">
        <v>0</v>
      </c>
      <c r="N626" t="n">
        <v>0</v>
      </c>
      <c r="O626" t="n">
        <v>0</v>
      </c>
      <c r="P626" t="n">
        <v>0</v>
      </c>
      <c r="Q626" t="n">
        <v>0</v>
      </c>
      <c r="R626" s="2" t="inlineStr"/>
    </row>
    <row r="627" ht="15" customHeight="1">
      <c r="A627" t="inlineStr">
        <is>
          <t>A 36751-2025</t>
        </is>
      </c>
      <c r="B627" s="1" t="n">
        <v>45873</v>
      </c>
      <c r="C627" s="1" t="n">
        <v>46051</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36827-2025</t>
        </is>
      </c>
      <c r="B628" s="1" t="n">
        <v>45874</v>
      </c>
      <c r="C628" s="1" t="n">
        <v>46051</v>
      </c>
      <c r="D628" t="inlineStr">
        <is>
          <t>VÄRMLANDS LÄN</t>
        </is>
      </c>
      <c r="E628" t="inlineStr">
        <is>
          <t>ÅRJÄNG</t>
        </is>
      </c>
      <c r="G628" t="n">
        <v>0.7</v>
      </c>
      <c r="H628" t="n">
        <v>0</v>
      </c>
      <c r="I628" t="n">
        <v>0</v>
      </c>
      <c r="J628" t="n">
        <v>0</v>
      </c>
      <c r="K628" t="n">
        <v>0</v>
      </c>
      <c r="L628" t="n">
        <v>0</v>
      </c>
      <c r="M628" t="n">
        <v>0</v>
      </c>
      <c r="N628" t="n">
        <v>0</v>
      </c>
      <c r="O628" t="n">
        <v>0</v>
      </c>
      <c r="P628" t="n">
        <v>0</v>
      </c>
      <c r="Q628" t="n">
        <v>0</v>
      </c>
      <c r="R628" s="2" t="inlineStr"/>
    </row>
    <row r="629" ht="15" customHeight="1">
      <c r="A629" t="inlineStr">
        <is>
          <t>A 36839-2025</t>
        </is>
      </c>
      <c r="B629" s="1" t="n">
        <v>45874</v>
      </c>
      <c r="C629" s="1" t="n">
        <v>46051</v>
      </c>
      <c r="D629" t="inlineStr">
        <is>
          <t>VÄRMLANDS LÄN</t>
        </is>
      </c>
      <c r="E629" t="inlineStr">
        <is>
          <t>ÅRJÄNG</t>
        </is>
      </c>
      <c r="G629" t="n">
        <v>2.2</v>
      </c>
      <c r="H629" t="n">
        <v>0</v>
      </c>
      <c r="I629" t="n">
        <v>0</v>
      </c>
      <c r="J629" t="n">
        <v>0</v>
      </c>
      <c r="K629" t="n">
        <v>0</v>
      </c>
      <c r="L629" t="n">
        <v>0</v>
      </c>
      <c r="M629" t="n">
        <v>0</v>
      </c>
      <c r="N629" t="n">
        <v>0</v>
      </c>
      <c r="O629" t="n">
        <v>0</v>
      </c>
      <c r="P629" t="n">
        <v>0</v>
      </c>
      <c r="Q629" t="n">
        <v>0</v>
      </c>
      <c r="R629" s="2" t="inlineStr"/>
    </row>
    <row r="630" ht="15" customHeight="1">
      <c r="A630" t="inlineStr">
        <is>
          <t>A 36780-2025</t>
        </is>
      </c>
      <c r="B630" s="1" t="n">
        <v>45873</v>
      </c>
      <c r="C630" s="1" t="n">
        <v>46051</v>
      </c>
      <c r="D630" t="inlineStr">
        <is>
          <t>VÄRMLANDS LÄN</t>
        </is>
      </c>
      <c r="E630" t="inlineStr">
        <is>
          <t>ÅRJÄNG</t>
        </is>
      </c>
      <c r="G630" t="n">
        <v>0.7</v>
      </c>
      <c r="H630" t="n">
        <v>0</v>
      </c>
      <c r="I630" t="n">
        <v>0</v>
      </c>
      <c r="J630" t="n">
        <v>0</v>
      </c>
      <c r="K630" t="n">
        <v>0</v>
      </c>
      <c r="L630" t="n">
        <v>0</v>
      </c>
      <c r="M630" t="n">
        <v>0</v>
      </c>
      <c r="N630" t="n">
        <v>0</v>
      </c>
      <c r="O630" t="n">
        <v>0</v>
      </c>
      <c r="P630" t="n">
        <v>0</v>
      </c>
      <c r="Q630" t="n">
        <v>0</v>
      </c>
      <c r="R630" s="2" t="inlineStr"/>
    </row>
    <row r="631" ht="15" customHeight="1">
      <c r="A631" t="inlineStr">
        <is>
          <t>A 36831-2025</t>
        </is>
      </c>
      <c r="B631" s="1" t="n">
        <v>45874</v>
      </c>
      <c r="C631" s="1" t="n">
        <v>46051</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48658-2025</t>
        </is>
      </c>
      <c r="B632" s="1" t="n">
        <v>45936.56628472222</v>
      </c>
      <c r="C632" s="1" t="n">
        <v>46051</v>
      </c>
      <c r="D632" t="inlineStr">
        <is>
          <t>VÄRMLANDS LÄN</t>
        </is>
      </c>
      <c r="E632" t="inlineStr">
        <is>
          <t>ÅRJÄNG</t>
        </is>
      </c>
      <c r="G632" t="n">
        <v>1.6</v>
      </c>
      <c r="H632" t="n">
        <v>0</v>
      </c>
      <c r="I632" t="n">
        <v>0</v>
      </c>
      <c r="J632" t="n">
        <v>0</v>
      </c>
      <c r="K632" t="n">
        <v>0</v>
      </c>
      <c r="L632" t="n">
        <v>0</v>
      </c>
      <c r="M632" t="n">
        <v>0</v>
      </c>
      <c r="N632" t="n">
        <v>0</v>
      </c>
      <c r="O632" t="n">
        <v>0</v>
      </c>
      <c r="P632" t="n">
        <v>0</v>
      </c>
      <c r="Q632" t="n">
        <v>0</v>
      </c>
      <c r="R632" s="2" t="inlineStr"/>
    </row>
    <row r="633" ht="15" customHeight="1">
      <c r="A633" t="inlineStr">
        <is>
          <t>A 36865-2025</t>
        </is>
      </c>
      <c r="B633" s="1" t="n">
        <v>45874.41655092593</v>
      </c>
      <c r="C633" s="1" t="n">
        <v>46051</v>
      </c>
      <c r="D633" t="inlineStr">
        <is>
          <t>VÄRMLANDS LÄN</t>
        </is>
      </c>
      <c r="E633" t="inlineStr">
        <is>
          <t>ÅRJÄNG</t>
        </is>
      </c>
      <c r="G633" t="n">
        <v>1.6</v>
      </c>
      <c r="H633" t="n">
        <v>0</v>
      </c>
      <c r="I633" t="n">
        <v>0</v>
      </c>
      <c r="J633" t="n">
        <v>0</v>
      </c>
      <c r="K633" t="n">
        <v>0</v>
      </c>
      <c r="L633" t="n">
        <v>0</v>
      </c>
      <c r="M633" t="n">
        <v>0</v>
      </c>
      <c r="N633" t="n">
        <v>0</v>
      </c>
      <c r="O633" t="n">
        <v>0</v>
      </c>
      <c r="P633" t="n">
        <v>0</v>
      </c>
      <c r="Q633" t="n">
        <v>0</v>
      </c>
      <c r="R633" s="2" t="inlineStr"/>
    </row>
    <row r="634" ht="15" customHeight="1">
      <c r="A634" t="inlineStr">
        <is>
          <t>A 48156-2025</t>
        </is>
      </c>
      <c r="B634" s="1" t="n">
        <v>45933.41744212963</v>
      </c>
      <c r="C634" s="1" t="n">
        <v>46051</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48567-2025</t>
        </is>
      </c>
      <c r="B635" s="1" t="n">
        <v>45936.44805555556</v>
      </c>
      <c r="C635" s="1" t="n">
        <v>46051</v>
      </c>
      <c r="D635" t="inlineStr">
        <is>
          <t>VÄRMLANDS LÄN</t>
        </is>
      </c>
      <c r="E635" t="inlineStr">
        <is>
          <t>ÅRJÄNG</t>
        </is>
      </c>
      <c r="G635" t="n">
        <v>4</v>
      </c>
      <c r="H635" t="n">
        <v>0</v>
      </c>
      <c r="I635" t="n">
        <v>0</v>
      </c>
      <c r="J635" t="n">
        <v>0</v>
      </c>
      <c r="K635" t="n">
        <v>0</v>
      </c>
      <c r="L635" t="n">
        <v>0</v>
      </c>
      <c r="M635" t="n">
        <v>0</v>
      </c>
      <c r="N635" t="n">
        <v>0</v>
      </c>
      <c r="O635" t="n">
        <v>0</v>
      </c>
      <c r="P635" t="n">
        <v>0</v>
      </c>
      <c r="Q635" t="n">
        <v>0</v>
      </c>
      <c r="R635" s="2" t="inlineStr"/>
    </row>
    <row r="636" ht="15" customHeight="1">
      <c r="A636" t="inlineStr">
        <is>
          <t>A 48225-2025</t>
        </is>
      </c>
      <c r="B636" s="1" t="n">
        <v>45933.50998842593</v>
      </c>
      <c r="C636" s="1" t="n">
        <v>46051</v>
      </c>
      <c r="D636" t="inlineStr">
        <is>
          <t>VÄRMLANDS LÄN</t>
        </is>
      </c>
      <c r="E636" t="inlineStr">
        <is>
          <t>ÅRJÄNG</t>
        </is>
      </c>
      <c r="G636" t="n">
        <v>1.5</v>
      </c>
      <c r="H636" t="n">
        <v>0</v>
      </c>
      <c r="I636" t="n">
        <v>0</v>
      </c>
      <c r="J636" t="n">
        <v>0</v>
      </c>
      <c r="K636" t="n">
        <v>0</v>
      </c>
      <c r="L636" t="n">
        <v>0</v>
      </c>
      <c r="M636" t="n">
        <v>0</v>
      </c>
      <c r="N636" t="n">
        <v>0</v>
      </c>
      <c r="O636" t="n">
        <v>0</v>
      </c>
      <c r="P636" t="n">
        <v>0</v>
      </c>
      <c r="Q636" t="n">
        <v>0</v>
      </c>
      <c r="R636" s="2" t="inlineStr"/>
    </row>
    <row r="637" ht="15" customHeight="1">
      <c r="A637" t="inlineStr">
        <is>
          <t>A 37247-2025</t>
        </is>
      </c>
      <c r="B637" s="1" t="n">
        <v>45876.40268518519</v>
      </c>
      <c r="C637" s="1" t="n">
        <v>46051</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37071-2025</t>
        </is>
      </c>
      <c r="B638" s="1" t="n">
        <v>45875.40101851852</v>
      </c>
      <c r="C638" s="1" t="n">
        <v>46051</v>
      </c>
      <c r="D638" t="inlineStr">
        <is>
          <t>VÄRMLANDS LÄN</t>
        </is>
      </c>
      <c r="E638" t="inlineStr">
        <is>
          <t>ÅRJÄNG</t>
        </is>
      </c>
      <c r="G638" t="n">
        <v>1.5</v>
      </c>
      <c r="H638" t="n">
        <v>0</v>
      </c>
      <c r="I638" t="n">
        <v>0</v>
      </c>
      <c r="J638" t="n">
        <v>0</v>
      </c>
      <c r="K638" t="n">
        <v>0</v>
      </c>
      <c r="L638" t="n">
        <v>0</v>
      </c>
      <c r="M638" t="n">
        <v>0</v>
      </c>
      <c r="N638" t="n">
        <v>0</v>
      </c>
      <c r="O638" t="n">
        <v>0</v>
      </c>
      <c r="P638" t="n">
        <v>0</v>
      </c>
      <c r="Q638" t="n">
        <v>0</v>
      </c>
      <c r="R638" s="2" t="inlineStr"/>
    </row>
    <row r="639" ht="15" customHeight="1">
      <c r="A639" t="inlineStr">
        <is>
          <t>A 49424-2025</t>
        </is>
      </c>
      <c r="B639" s="1" t="n">
        <v>45938.72657407408</v>
      </c>
      <c r="C639" s="1" t="n">
        <v>46051</v>
      </c>
      <c r="D639" t="inlineStr">
        <is>
          <t>VÄRMLANDS LÄN</t>
        </is>
      </c>
      <c r="E639" t="inlineStr">
        <is>
          <t>ÅRJÄNG</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37419-2025</t>
        </is>
      </c>
      <c r="B640" s="1" t="n">
        <v>45877</v>
      </c>
      <c r="C640" s="1" t="n">
        <v>46051</v>
      </c>
      <c r="D640" t="inlineStr">
        <is>
          <t>VÄRMLANDS LÄN</t>
        </is>
      </c>
      <c r="E640" t="inlineStr">
        <is>
          <t>ÅRJÄNG</t>
        </is>
      </c>
      <c r="G640" t="n">
        <v>4.9</v>
      </c>
      <c r="H640" t="n">
        <v>0</v>
      </c>
      <c r="I640" t="n">
        <v>0</v>
      </c>
      <c r="J640" t="n">
        <v>0</v>
      </c>
      <c r="K640" t="n">
        <v>0</v>
      </c>
      <c r="L640" t="n">
        <v>0</v>
      </c>
      <c r="M640" t="n">
        <v>0</v>
      </c>
      <c r="N640" t="n">
        <v>0</v>
      </c>
      <c r="O640" t="n">
        <v>0</v>
      </c>
      <c r="P640" t="n">
        <v>0</v>
      </c>
      <c r="Q640" t="n">
        <v>0</v>
      </c>
      <c r="R640" s="2" t="inlineStr"/>
    </row>
    <row r="641" ht="15" customHeight="1">
      <c r="A641" t="inlineStr">
        <is>
          <t>A 37484-2025</t>
        </is>
      </c>
      <c r="B641" s="1" t="n">
        <v>45877</v>
      </c>
      <c r="C641" s="1" t="n">
        <v>46051</v>
      </c>
      <c r="D641" t="inlineStr">
        <is>
          <t>VÄRMLANDS LÄN</t>
        </is>
      </c>
      <c r="E641" t="inlineStr">
        <is>
          <t>ÅRJÄNG</t>
        </is>
      </c>
      <c r="G641" t="n">
        <v>2.2</v>
      </c>
      <c r="H641" t="n">
        <v>0</v>
      </c>
      <c r="I641" t="n">
        <v>0</v>
      </c>
      <c r="J641" t="n">
        <v>0</v>
      </c>
      <c r="K641" t="n">
        <v>0</v>
      </c>
      <c r="L641" t="n">
        <v>0</v>
      </c>
      <c r="M641" t="n">
        <v>0</v>
      </c>
      <c r="N641" t="n">
        <v>0</v>
      </c>
      <c r="O641" t="n">
        <v>0</v>
      </c>
      <c r="P641" t="n">
        <v>0</v>
      </c>
      <c r="Q641" t="n">
        <v>0</v>
      </c>
      <c r="R641" s="2" t="inlineStr"/>
    </row>
    <row r="642" ht="15" customHeight="1">
      <c r="A642" t="inlineStr">
        <is>
          <t>A 37507-2025</t>
        </is>
      </c>
      <c r="B642" s="1" t="n">
        <v>45877</v>
      </c>
      <c r="C642" s="1" t="n">
        <v>46051</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37402-2025</t>
        </is>
      </c>
      <c r="B643" s="1" t="n">
        <v>45877</v>
      </c>
      <c r="C643" s="1" t="n">
        <v>46051</v>
      </c>
      <c r="D643" t="inlineStr">
        <is>
          <t>VÄRMLANDS LÄN</t>
        </is>
      </c>
      <c r="E643" t="inlineStr">
        <is>
          <t>ÅRJÄNG</t>
        </is>
      </c>
      <c r="G643" t="n">
        <v>2.5</v>
      </c>
      <c r="H643" t="n">
        <v>0</v>
      </c>
      <c r="I643" t="n">
        <v>0</v>
      </c>
      <c r="J643" t="n">
        <v>0</v>
      </c>
      <c r="K643" t="n">
        <v>0</v>
      </c>
      <c r="L643" t="n">
        <v>0</v>
      </c>
      <c r="M643" t="n">
        <v>0</v>
      </c>
      <c r="N643" t="n">
        <v>0</v>
      </c>
      <c r="O643" t="n">
        <v>0</v>
      </c>
      <c r="P643" t="n">
        <v>0</v>
      </c>
      <c r="Q643" t="n">
        <v>0</v>
      </c>
      <c r="R643" s="2" t="inlineStr"/>
    </row>
    <row r="644" ht="15" customHeight="1">
      <c r="A644" t="inlineStr">
        <is>
          <t>A 37416-2025</t>
        </is>
      </c>
      <c r="B644" s="1" t="n">
        <v>45877</v>
      </c>
      <c r="C644" s="1" t="n">
        <v>46051</v>
      </c>
      <c r="D644" t="inlineStr">
        <is>
          <t>VÄRMLANDS LÄN</t>
        </is>
      </c>
      <c r="E644" t="inlineStr">
        <is>
          <t>ÅRJÄNG</t>
        </is>
      </c>
      <c r="G644" t="n">
        <v>3.8</v>
      </c>
      <c r="H644" t="n">
        <v>0</v>
      </c>
      <c r="I644" t="n">
        <v>0</v>
      </c>
      <c r="J644" t="n">
        <v>0</v>
      </c>
      <c r="K644" t="n">
        <v>0</v>
      </c>
      <c r="L644" t="n">
        <v>0</v>
      </c>
      <c r="M644" t="n">
        <v>0</v>
      </c>
      <c r="N644" t="n">
        <v>0</v>
      </c>
      <c r="O644" t="n">
        <v>0</v>
      </c>
      <c r="P644" t="n">
        <v>0</v>
      </c>
      <c r="Q644" t="n">
        <v>0</v>
      </c>
      <c r="R644" s="2" t="inlineStr"/>
    </row>
    <row r="645" ht="15" customHeight="1">
      <c r="A645" t="inlineStr">
        <is>
          <t>A 40447-2022</t>
        </is>
      </c>
      <c r="B645" s="1" t="n">
        <v>44823</v>
      </c>
      <c r="C645" s="1" t="n">
        <v>46051</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37662-2025</t>
        </is>
      </c>
      <c r="B646" s="1" t="n">
        <v>45880</v>
      </c>
      <c r="C646" s="1" t="n">
        <v>46051</v>
      </c>
      <c r="D646" t="inlineStr">
        <is>
          <t>VÄRMLANDS LÄN</t>
        </is>
      </c>
      <c r="E646" t="inlineStr">
        <is>
          <t>ÅRJÄNG</t>
        </is>
      </c>
      <c r="G646" t="n">
        <v>1.8</v>
      </c>
      <c r="H646" t="n">
        <v>0</v>
      </c>
      <c r="I646" t="n">
        <v>0</v>
      </c>
      <c r="J646" t="n">
        <v>0</v>
      </c>
      <c r="K646" t="n">
        <v>0</v>
      </c>
      <c r="L646" t="n">
        <v>0</v>
      </c>
      <c r="M646" t="n">
        <v>0</v>
      </c>
      <c r="N646" t="n">
        <v>0</v>
      </c>
      <c r="O646" t="n">
        <v>0</v>
      </c>
      <c r="P646" t="n">
        <v>0</v>
      </c>
      <c r="Q646" t="n">
        <v>0</v>
      </c>
      <c r="R646" s="2" t="inlineStr"/>
    </row>
    <row r="647" ht="15" customHeight="1">
      <c r="A647" t="inlineStr">
        <is>
          <t>A 37418-2025</t>
        </is>
      </c>
      <c r="B647" s="1" t="n">
        <v>45877</v>
      </c>
      <c r="C647" s="1" t="n">
        <v>46051</v>
      </c>
      <c r="D647" t="inlineStr">
        <is>
          <t>VÄRMLANDS LÄN</t>
        </is>
      </c>
      <c r="E647" t="inlineStr">
        <is>
          <t>ÅRJÄNG</t>
        </is>
      </c>
      <c r="G647" t="n">
        <v>1.7</v>
      </c>
      <c r="H647" t="n">
        <v>0</v>
      </c>
      <c r="I647" t="n">
        <v>0</v>
      </c>
      <c r="J647" t="n">
        <v>0</v>
      </c>
      <c r="K647" t="n">
        <v>0</v>
      </c>
      <c r="L647" t="n">
        <v>0</v>
      </c>
      <c r="M647" t="n">
        <v>0</v>
      </c>
      <c r="N647" t="n">
        <v>0</v>
      </c>
      <c r="O647" t="n">
        <v>0</v>
      </c>
      <c r="P647" t="n">
        <v>0</v>
      </c>
      <c r="Q647" t="n">
        <v>0</v>
      </c>
      <c r="R647" s="2" t="inlineStr"/>
    </row>
    <row r="648" ht="15" customHeight="1">
      <c r="A648" t="inlineStr">
        <is>
          <t>A 37420-2025</t>
        </is>
      </c>
      <c r="B648" s="1" t="n">
        <v>45877</v>
      </c>
      <c r="C648" s="1" t="n">
        <v>46051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37680-2025</t>
        </is>
      </c>
      <c r="B649" s="1" t="n">
        <v>45880.54208333333</v>
      </c>
      <c r="C649" s="1" t="n">
        <v>46051</v>
      </c>
      <c r="D649" t="inlineStr">
        <is>
          <t>VÄRMLANDS LÄN</t>
        </is>
      </c>
      <c r="E649" t="inlineStr">
        <is>
          <t>ÅRJÄNG</t>
        </is>
      </c>
      <c r="G649" t="n">
        <v>2</v>
      </c>
      <c r="H649" t="n">
        <v>0</v>
      </c>
      <c r="I649" t="n">
        <v>0</v>
      </c>
      <c r="J649" t="n">
        <v>0</v>
      </c>
      <c r="K649" t="n">
        <v>0</v>
      </c>
      <c r="L649" t="n">
        <v>0</v>
      </c>
      <c r="M649" t="n">
        <v>0</v>
      </c>
      <c r="N649" t="n">
        <v>0</v>
      </c>
      <c r="O649" t="n">
        <v>0</v>
      </c>
      <c r="P649" t="n">
        <v>0</v>
      </c>
      <c r="Q649" t="n">
        <v>0</v>
      </c>
      <c r="R649" s="2" t="inlineStr"/>
    </row>
    <row r="650" ht="15" customHeight="1">
      <c r="A650" t="inlineStr">
        <is>
          <t>A 37681-2025</t>
        </is>
      </c>
      <c r="B650" s="1" t="n">
        <v>45880</v>
      </c>
      <c r="C650" s="1" t="n">
        <v>46051</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8685-2024</t>
        </is>
      </c>
      <c r="B651" s="1" t="n">
        <v>45356</v>
      </c>
      <c r="C651" s="1" t="n">
        <v>46051</v>
      </c>
      <c r="D651" t="inlineStr">
        <is>
          <t>VÄRMLANDS LÄN</t>
        </is>
      </c>
      <c r="E651" t="inlineStr">
        <is>
          <t>ÅRJÄNG</t>
        </is>
      </c>
      <c r="G651" t="n">
        <v>2.5</v>
      </c>
      <c r="H651" t="n">
        <v>0</v>
      </c>
      <c r="I651" t="n">
        <v>0</v>
      </c>
      <c r="J651" t="n">
        <v>0</v>
      </c>
      <c r="K651" t="n">
        <v>0</v>
      </c>
      <c r="L651" t="n">
        <v>0</v>
      </c>
      <c r="M651" t="n">
        <v>0</v>
      </c>
      <c r="N651" t="n">
        <v>0</v>
      </c>
      <c r="O651" t="n">
        <v>0</v>
      </c>
      <c r="P651" t="n">
        <v>0</v>
      </c>
      <c r="Q651" t="n">
        <v>0</v>
      </c>
      <c r="R651" s="2" t="inlineStr"/>
    </row>
    <row r="652" ht="15" customHeight="1">
      <c r="A652" t="inlineStr">
        <is>
          <t>A 37555-2025</t>
        </is>
      </c>
      <c r="B652" s="1" t="n">
        <v>45880</v>
      </c>
      <c r="C652" s="1" t="n">
        <v>46051</v>
      </c>
      <c r="D652" t="inlineStr">
        <is>
          <t>VÄRMLANDS LÄN</t>
        </is>
      </c>
      <c r="E652" t="inlineStr">
        <is>
          <t>ÅRJÄNG</t>
        </is>
      </c>
      <c r="G652" t="n">
        <v>0.8</v>
      </c>
      <c r="H652" t="n">
        <v>0</v>
      </c>
      <c r="I652" t="n">
        <v>0</v>
      </c>
      <c r="J652" t="n">
        <v>0</v>
      </c>
      <c r="K652" t="n">
        <v>0</v>
      </c>
      <c r="L652" t="n">
        <v>0</v>
      </c>
      <c r="M652" t="n">
        <v>0</v>
      </c>
      <c r="N652" t="n">
        <v>0</v>
      </c>
      <c r="O652" t="n">
        <v>0</v>
      </c>
      <c r="P652" t="n">
        <v>0</v>
      </c>
      <c r="Q652" t="n">
        <v>0</v>
      </c>
      <c r="R652" s="2" t="inlineStr"/>
    </row>
    <row r="653" ht="15" customHeight="1">
      <c r="A653" t="inlineStr">
        <is>
          <t>A 28314-2025</t>
        </is>
      </c>
      <c r="B653" s="1" t="n">
        <v>45818.62592592592</v>
      </c>
      <c r="C653" s="1" t="n">
        <v>46051</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37655-2025</t>
        </is>
      </c>
      <c r="B654" s="1" t="n">
        <v>45880</v>
      </c>
      <c r="C654" s="1" t="n">
        <v>46051</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49727-2025</t>
        </is>
      </c>
      <c r="B655" s="1" t="n">
        <v>45939</v>
      </c>
      <c r="C655" s="1" t="n">
        <v>46051</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37510-2025</t>
        </is>
      </c>
      <c r="B656" s="1" t="n">
        <v>45877</v>
      </c>
      <c r="C656" s="1" t="n">
        <v>46051</v>
      </c>
      <c r="D656" t="inlineStr">
        <is>
          <t>VÄRMLANDS LÄN</t>
        </is>
      </c>
      <c r="E656" t="inlineStr">
        <is>
          <t>ÅRJÄNG</t>
        </is>
      </c>
      <c r="G656" t="n">
        <v>10.4</v>
      </c>
      <c r="H656" t="n">
        <v>0</v>
      </c>
      <c r="I656" t="n">
        <v>0</v>
      </c>
      <c r="J656" t="n">
        <v>0</v>
      </c>
      <c r="K656" t="n">
        <v>0</v>
      </c>
      <c r="L656" t="n">
        <v>0</v>
      </c>
      <c r="M656" t="n">
        <v>0</v>
      </c>
      <c r="N656" t="n">
        <v>0</v>
      </c>
      <c r="O656" t="n">
        <v>0</v>
      </c>
      <c r="P656" t="n">
        <v>0</v>
      </c>
      <c r="Q656" t="n">
        <v>0</v>
      </c>
      <c r="R656" s="2" t="inlineStr"/>
    </row>
    <row r="657" ht="15" customHeight="1">
      <c r="A657" t="inlineStr">
        <is>
          <t>A 49436-2025</t>
        </is>
      </c>
      <c r="B657" s="1" t="n">
        <v>45938.87913194444</v>
      </c>
      <c r="C657" s="1" t="n">
        <v>46051</v>
      </c>
      <c r="D657" t="inlineStr">
        <is>
          <t>VÄRMLANDS LÄN</t>
        </is>
      </c>
      <c r="E657" t="inlineStr">
        <is>
          <t>ÅRJÄNG</t>
        </is>
      </c>
      <c r="G657" t="n">
        <v>13.9</v>
      </c>
      <c r="H657" t="n">
        <v>0</v>
      </c>
      <c r="I657" t="n">
        <v>0</v>
      </c>
      <c r="J657" t="n">
        <v>0</v>
      </c>
      <c r="K657" t="n">
        <v>0</v>
      </c>
      <c r="L657" t="n">
        <v>0</v>
      </c>
      <c r="M657" t="n">
        <v>0</v>
      </c>
      <c r="N657" t="n">
        <v>0</v>
      </c>
      <c r="O657" t="n">
        <v>0</v>
      </c>
      <c r="P657" t="n">
        <v>0</v>
      </c>
      <c r="Q657" t="n">
        <v>0</v>
      </c>
      <c r="R657" s="2" t="inlineStr"/>
    </row>
    <row r="658" ht="15" customHeight="1">
      <c r="A658" t="inlineStr">
        <is>
          <t>A 49439-2025</t>
        </is>
      </c>
      <c r="B658" s="1" t="n">
        <v>45938.88315972222</v>
      </c>
      <c r="C658" s="1" t="n">
        <v>46051</v>
      </c>
      <c r="D658" t="inlineStr">
        <is>
          <t>VÄRMLANDS LÄN</t>
        </is>
      </c>
      <c r="E658" t="inlineStr">
        <is>
          <t>ÅRJÄNG</t>
        </is>
      </c>
      <c r="G658" t="n">
        <v>2.3</v>
      </c>
      <c r="H658" t="n">
        <v>0</v>
      </c>
      <c r="I658" t="n">
        <v>0</v>
      </c>
      <c r="J658" t="n">
        <v>0</v>
      </c>
      <c r="K658" t="n">
        <v>0</v>
      </c>
      <c r="L658" t="n">
        <v>0</v>
      </c>
      <c r="M658" t="n">
        <v>0</v>
      </c>
      <c r="N658" t="n">
        <v>0</v>
      </c>
      <c r="O658" t="n">
        <v>0</v>
      </c>
      <c r="P658" t="n">
        <v>0</v>
      </c>
      <c r="Q658" t="n">
        <v>0</v>
      </c>
      <c r="R658" s="2" t="inlineStr"/>
    </row>
    <row r="659" ht="15" customHeight="1">
      <c r="A659" t="inlineStr">
        <is>
          <t>A 49728-2025</t>
        </is>
      </c>
      <c r="B659" s="1" t="n">
        <v>45939</v>
      </c>
      <c r="C659" s="1" t="n">
        <v>46051</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49914-2025</t>
        </is>
      </c>
      <c r="B660" s="1" t="n">
        <v>45940.61268518519</v>
      </c>
      <c r="C660" s="1" t="n">
        <v>46051</v>
      </c>
      <c r="D660" t="inlineStr">
        <is>
          <t>VÄRMLANDS LÄN</t>
        </is>
      </c>
      <c r="E660" t="inlineStr">
        <is>
          <t>ÅRJÄNG</t>
        </is>
      </c>
      <c r="G660" t="n">
        <v>2</v>
      </c>
      <c r="H660" t="n">
        <v>0</v>
      </c>
      <c r="I660" t="n">
        <v>0</v>
      </c>
      <c r="J660" t="n">
        <v>0</v>
      </c>
      <c r="K660" t="n">
        <v>0</v>
      </c>
      <c r="L660" t="n">
        <v>0</v>
      </c>
      <c r="M660" t="n">
        <v>0</v>
      </c>
      <c r="N660" t="n">
        <v>0</v>
      </c>
      <c r="O660" t="n">
        <v>0</v>
      </c>
      <c r="P660" t="n">
        <v>0</v>
      </c>
      <c r="Q660" t="n">
        <v>0</v>
      </c>
      <c r="R660" s="2" t="inlineStr"/>
    </row>
    <row r="661" ht="15" customHeight="1">
      <c r="A661" t="inlineStr">
        <is>
          <t>A 49441-2025</t>
        </is>
      </c>
      <c r="B661" s="1" t="n">
        <v>45938.88782407407</v>
      </c>
      <c r="C661" s="1" t="n">
        <v>46051</v>
      </c>
      <c r="D661" t="inlineStr">
        <is>
          <t>VÄRMLANDS LÄN</t>
        </is>
      </c>
      <c r="E661" t="inlineStr">
        <is>
          <t>ÅRJÄNG</t>
        </is>
      </c>
      <c r="G661" t="n">
        <v>2.9</v>
      </c>
      <c r="H661" t="n">
        <v>0</v>
      </c>
      <c r="I661" t="n">
        <v>0</v>
      </c>
      <c r="J661" t="n">
        <v>0</v>
      </c>
      <c r="K661" t="n">
        <v>0</v>
      </c>
      <c r="L661" t="n">
        <v>0</v>
      </c>
      <c r="M661" t="n">
        <v>0</v>
      </c>
      <c r="N661" t="n">
        <v>0</v>
      </c>
      <c r="O661" t="n">
        <v>0</v>
      </c>
      <c r="P661" t="n">
        <v>0</v>
      </c>
      <c r="Q661" t="n">
        <v>0</v>
      </c>
      <c r="R661" s="2" t="inlineStr"/>
    </row>
    <row r="662" ht="15" customHeight="1">
      <c r="A662" t="inlineStr">
        <is>
          <t>A 49442-2025</t>
        </is>
      </c>
      <c r="B662" s="1" t="n">
        <v>45938.88975694445</v>
      </c>
      <c r="C662" s="1" t="n">
        <v>46051</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49437-2025</t>
        </is>
      </c>
      <c r="B663" s="1" t="n">
        <v>45938.8803587963</v>
      </c>
      <c r="C663" s="1" t="n">
        <v>46051</v>
      </c>
      <c r="D663" t="inlineStr">
        <is>
          <t>VÄRMLANDS LÄN</t>
        </is>
      </c>
      <c r="E663" t="inlineStr">
        <is>
          <t>ÅRJÄNG</t>
        </is>
      </c>
      <c r="G663" t="n">
        <v>5.2</v>
      </c>
      <c r="H663" t="n">
        <v>0</v>
      </c>
      <c r="I663" t="n">
        <v>0</v>
      </c>
      <c r="J663" t="n">
        <v>0</v>
      </c>
      <c r="K663" t="n">
        <v>0</v>
      </c>
      <c r="L663" t="n">
        <v>0</v>
      </c>
      <c r="M663" t="n">
        <v>0</v>
      </c>
      <c r="N663" t="n">
        <v>0</v>
      </c>
      <c r="O663" t="n">
        <v>0</v>
      </c>
      <c r="P663" t="n">
        <v>0</v>
      </c>
      <c r="Q663" t="n">
        <v>0</v>
      </c>
      <c r="R663" s="2" t="inlineStr"/>
    </row>
    <row r="664" ht="15" customHeight="1">
      <c r="A664" t="inlineStr">
        <is>
          <t>A 49936-2025</t>
        </is>
      </c>
      <c r="B664" s="1" t="n">
        <v>45940.66287037037</v>
      </c>
      <c r="C664" s="1" t="n">
        <v>46051</v>
      </c>
      <c r="D664" t="inlineStr">
        <is>
          <t>VÄRMLANDS LÄN</t>
        </is>
      </c>
      <c r="E664" t="inlineStr">
        <is>
          <t>ÅRJÄNG</t>
        </is>
      </c>
      <c r="F664" t="inlineStr">
        <is>
          <t>Kyrkan</t>
        </is>
      </c>
      <c r="G664" t="n">
        <v>5.3</v>
      </c>
      <c r="H664" t="n">
        <v>0</v>
      </c>
      <c r="I664" t="n">
        <v>0</v>
      </c>
      <c r="J664" t="n">
        <v>0</v>
      </c>
      <c r="K664" t="n">
        <v>0</v>
      </c>
      <c r="L664" t="n">
        <v>0</v>
      </c>
      <c r="M664" t="n">
        <v>0</v>
      </c>
      <c r="N664" t="n">
        <v>0</v>
      </c>
      <c r="O664" t="n">
        <v>0</v>
      </c>
      <c r="P664" t="n">
        <v>0</v>
      </c>
      <c r="Q664" t="n">
        <v>0</v>
      </c>
      <c r="R664" s="2" t="inlineStr"/>
    </row>
    <row r="665" ht="15" customHeight="1">
      <c r="A665" t="inlineStr">
        <is>
          <t>A 49540-2025</t>
        </is>
      </c>
      <c r="B665" s="1" t="n">
        <v>45939.42537037037</v>
      </c>
      <c r="C665" s="1" t="n">
        <v>46051</v>
      </c>
      <c r="D665" t="inlineStr">
        <is>
          <t>VÄRMLANDS LÄN</t>
        </is>
      </c>
      <c r="E665" t="inlineStr">
        <is>
          <t>ÅRJÄNG</t>
        </is>
      </c>
      <c r="G665" t="n">
        <v>3.5</v>
      </c>
      <c r="H665" t="n">
        <v>0</v>
      </c>
      <c r="I665" t="n">
        <v>0</v>
      </c>
      <c r="J665" t="n">
        <v>0</v>
      </c>
      <c r="K665" t="n">
        <v>0</v>
      </c>
      <c r="L665" t="n">
        <v>0</v>
      </c>
      <c r="M665" t="n">
        <v>0</v>
      </c>
      <c r="N665" t="n">
        <v>0</v>
      </c>
      <c r="O665" t="n">
        <v>0</v>
      </c>
      <c r="P665" t="n">
        <v>0</v>
      </c>
      <c r="Q665" t="n">
        <v>0</v>
      </c>
      <c r="R665" s="2" t="inlineStr"/>
    </row>
    <row r="666" ht="15" customHeight="1">
      <c r="A666" t="inlineStr">
        <is>
          <t>A 49057-2024</t>
        </is>
      </c>
      <c r="B666" s="1" t="n">
        <v>45594</v>
      </c>
      <c r="C666" s="1" t="n">
        <v>46051</v>
      </c>
      <c r="D666" t="inlineStr">
        <is>
          <t>VÄRMLANDS LÄN</t>
        </is>
      </c>
      <c r="E666" t="inlineStr">
        <is>
          <t>ÅRJÄNG</t>
        </is>
      </c>
      <c r="G666" t="n">
        <v>1</v>
      </c>
      <c r="H666" t="n">
        <v>0</v>
      </c>
      <c r="I666" t="n">
        <v>0</v>
      </c>
      <c r="J666" t="n">
        <v>0</v>
      </c>
      <c r="K666" t="n">
        <v>0</v>
      </c>
      <c r="L666" t="n">
        <v>0</v>
      </c>
      <c r="M666" t="n">
        <v>0</v>
      </c>
      <c r="N666" t="n">
        <v>0</v>
      </c>
      <c r="O666" t="n">
        <v>0</v>
      </c>
      <c r="P666" t="n">
        <v>0</v>
      </c>
      <c r="Q666" t="n">
        <v>0</v>
      </c>
      <c r="R666" s="2" t="inlineStr"/>
    </row>
    <row r="667" ht="15" customHeight="1">
      <c r="A667" t="inlineStr">
        <is>
          <t>A 50187-2025</t>
        </is>
      </c>
      <c r="B667" s="1" t="n">
        <v>45943.62962962963</v>
      </c>
      <c r="C667" s="1" t="n">
        <v>46051</v>
      </c>
      <c r="D667" t="inlineStr">
        <is>
          <t>VÄRMLANDS LÄN</t>
        </is>
      </c>
      <c r="E667" t="inlineStr">
        <is>
          <t>ÅRJÄNG</t>
        </is>
      </c>
      <c r="F667" t="inlineStr">
        <is>
          <t>Bergvik skog väst AB</t>
        </is>
      </c>
      <c r="G667" t="n">
        <v>1.2</v>
      </c>
      <c r="H667" t="n">
        <v>0</v>
      </c>
      <c r="I667" t="n">
        <v>0</v>
      </c>
      <c r="J667" t="n">
        <v>0</v>
      </c>
      <c r="K667" t="n">
        <v>0</v>
      </c>
      <c r="L667" t="n">
        <v>0</v>
      </c>
      <c r="M667" t="n">
        <v>0</v>
      </c>
      <c r="N667" t="n">
        <v>0</v>
      </c>
      <c r="O667" t="n">
        <v>0</v>
      </c>
      <c r="P667" t="n">
        <v>0</v>
      </c>
      <c r="Q667" t="n">
        <v>0</v>
      </c>
      <c r="R667" s="2" t="inlineStr"/>
    </row>
    <row r="668" ht="15" customHeight="1">
      <c r="A668" t="inlineStr">
        <is>
          <t>A 50295-2025</t>
        </is>
      </c>
      <c r="B668" s="1" t="n">
        <v>45944</v>
      </c>
      <c r="C668" s="1" t="n">
        <v>46051</v>
      </c>
      <c r="D668" t="inlineStr">
        <is>
          <t>VÄRMLANDS LÄN</t>
        </is>
      </c>
      <c r="E668" t="inlineStr">
        <is>
          <t>ÅRJÄNG</t>
        </is>
      </c>
      <c r="G668" t="n">
        <v>6</v>
      </c>
      <c r="H668" t="n">
        <v>0</v>
      </c>
      <c r="I668" t="n">
        <v>0</v>
      </c>
      <c r="J668" t="n">
        <v>0</v>
      </c>
      <c r="K668" t="n">
        <v>0</v>
      </c>
      <c r="L668" t="n">
        <v>0</v>
      </c>
      <c r="M668" t="n">
        <v>0</v>
      </c>
      <c r="N668" t="n">
        <v>0</v>
      </c>
      <c r="O668" t="n">
        <v>0</v>
      </c>
      <c r="P668" t="n">
        <v>0</v>
      </c>
      <c r="Q668" t="n">
        <v>0</v>
      </c>
      <c r="R668" s="2" t="inlineStr"/>
    </row>
    <row r="669" ht="15" customHeight="1">
      <c r="A669" t="inlineStr">
        <is>
          <t>A 50114-2025</t>
        </is>
      </c>
      <c r="B669" s="1" t="n">
        <v>45943</v>
      </c>
      <c r="C669" s="1" t="n">
        <v>46051</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50108-2025</t>
        </is>
      </c>
      <c r="B670" s="1" t="n">
        <v>45943</v>
      </c>
      <c r="C670" s="1" t="n">
        <v>46051</v>
      </c>
      <c r="D670" t="inlineStr">
        <is>
          <t>VÄRMLANDS LÄN</t>
        </is>
      </c>
      <c r="E670" t="inlineStr">
        <is>
          <t>ÅRJÄNG</t>
        </is>
      </c>
      <c r="G670" t="n">
        <v>2.1</v>
      </c>
      <c r="H670" t="n">
        <v>0</v>
      </c>
      <c r="I670" t="n">
        <v>0</v>
      </c>
      <c r="J670" t="n">
        <v>0</v>
      </c>
      <c r="K670" t="n">
        <v>0</v>
      </c>
      <c r="L670" t="n">
        <v>0</v>
      </c>
      <c r="M670" t="n">
        <v>0</v>
      </c>
      <c r="N670" t="n">
        <v>0</v>
      </c>
      <c r="O670" t="n">
        <v>0</v>
      </c>
      <c r="P670" t="n">
        <v>0</v>
      </c>
      <c r="Q670" t="n">
        <v>0</v>
      </c>
      <c r="R670" s="2" t="inlineStr"/>
    </row>
    <row r="671" ht="15" customHeight="1">
      <c r="A671" t="inlineStr">
        <is>
          <t>A 50118-2025</t>
        </is>
      </c>
      <c r="B671" s="1" t="n">
        <v>45943</v>
      </c>
      <c r="C671" s="1" t="n">
        <v>46051</v>
      </c>
      <c r="D671" t="inlineStr">
        <is>
          <t>VÄRMLANDS LÄN</t>
        </is>
      </c>
      <c r="E671" t="inlineStr">
        <is>
          <t>ÅRJÄNG</t>
        </is>
      </c>
      <c r="G671" t="n">
        <v>7.7</v>
      </c>
      <c r="H671" t="n">
        <v>0</v>
      </c>
      <c r="I671" t="n">
        <v>0</v>
      </c>
      <c r="J671" t="n">
        <v>0</v>
      </c>
      <c r="K671" t="n">
        <v>0</v>
      </c>
      <c r="L671" t="n">
        <v>0</v>
      </c>
      <c r="M671" t="n">
        <v>0</v>
      </c>
      <c r="N671" t="n">
        <v>0</v>
      </c>
      <c r="O671" t="n">
        <v>0</v>
      </c>
      <c r="P671" t="n">
        <v>0</v>
      </c>
      <c r="Q671" t="n">
        <v>0</v>
      </c>
      <c r="R671" s="2" t="inlineStr"/>
    </row>
    <row r="672" ht="15" customHeight="1">
      <c r="A672" t="inlineStr">
        <is>
          <t>A 49958-2025</t>
        </is>
      </c>
      <c r="B672" s="1" t="n">
        <v>45941.33325231481</v>
      </c>
      <c r="C672" s="1" t="n">
        <v>46051</v>
      </c>
      <c r="D672" t="inlineStr">
        <is>
          <t>VÄRMLANDS LÄN</t>
        </is>
      </c>
      <c r="E672" t="inlineStr">
        <is>
          <t>ÅRJÄNG</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49959-2025</t>
        </is>
      </c>
      <c r="B673" s="1" t="n">
        <v>45941.33649305555</v>
      </c>
      <c r="C673" s="1" t="n">
        <v>46051</v>
      </c>
      <c r="D673" t="inlineStr">
        <is>
          <t>VÄRMLANDS LÄN</t>
        </is>
      </c>
      <c r="E673" t="inlineStr">
        <is>
          <t>ÅRJÄNG</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50112-2025</t>
        </is>
      </c>
      <c r="B674" s="1" t="n">
        <v>45943</v>
      </c>
      <c r="C674" s="1" t="n">
        <v>46051</v>
      </c>
      <c r="D674" t="inlineStr">
        <is>
          <t>VÄRMLANDS LÄN</t>
        </is>
      </c>
      <c r="E674" t="inlineStr">
        <is>
          <t>ÅRJÄNG</t>
        </is>
      </c>
      <c r="G674" t="n">
        <v>2.2</v>
      </c>
      <c r="H674" t="n">
        <v>0</v>
      </c>
      <c r="I674" t="n">
        <v>0</v>
      </c>
      <c r="J674" t="n">
        <v>0</v>
      </c>
      <c r="K674" t="n">
        <v>0</v>
      </c>
      <c r="L674" t="n">
        <v>0</v>
      </c>
      <c r="M674" t="n">
        <v>0</v>
      </c>
      <c r="N674" t="n">
        <v>0</v>
      </c>
      <c r="O674" t="n">
        <v>0</v>
      </c>
      <c r="P674" t="n">
        <v>0</v>
      </c>
      <c r="Q674" t="n">
        <v>0</v>
      </c>
      <c r="R674" s="2" t="inlineStr"/>
    </row>
    <row r="675" ht="15" customHeight="1">
      <c r="A675" t="inlineStr">
        <is>
          <t>A 56030-2024</t>
        </is>
      </c>
      <c r="B675" s="1" t="n">
        <v>45624.31178240741</v>
      </c>
      <c r="C675" s="1" t="n">
        <v>46051</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57917-2025</t>
        </is>
      </c>
      <c r="B676" s="1" t="n">
        <v>45981</v>
      </c>
      <c r="C676" s="1" t="n">
        <v>46051</v>
      </c>
      <c r="D676" t="inlineStr">
        <is>
          <t>VÄRMLANDS LÄN</t>
        </is>
      </c>
      <c r="E676" t="inlineStr">
        <is>
          <t>ÅRJÄNG</t>
        </is>
      </c>
      <c r="G676" t="n">
        <v>5.5</v>
      </c>
      <c r="H676" t="n">
        <v>0</v>
      </c>
      <c r="I676" t="n">
        <v>0</v>
      </c>
      <c r="J676" t="n">
        <v>0</v>
      </c>
      <c r="K676" t="n">
        <v>0</v>
      </c>
      <c r="L676" t="n">
        <v>0</v>
      </c>
      <c r="M676" t="n">
        <v>0</v>
      </c>
      <c r="N676" t="n">
        <v>0</v>
      </c>
      <c r="O676" t="n">
        <v>0</v>
      </c>
      <c r="P676" t="n">
        <v>0</v>
      </c>
      <c r="Q676" t="n">
        <v>0</v>
      </c>
      <c r="R676" s="2" t="inlineStr"/>
    </row>
    <row r="677" ht="15" customHeight="1">
      <c r="A677" t="inlineStr">
        <is>
          <t>A 65844-2021</t>
        </is>
      </c>
      <c r="B677" s="1" t="n">
        <v>44517.36067129629</v>
      </c>
      <c r="C677" s="1" t="n">
        <v>46051</v>
      </c>
      <c r="D677" t="inlineStr">
        <is>
          <t>VÄRMLANDS LÄN</t>
        </is>
      </c>
      <c r="E677" t="inlineStr">
        <is>
          <t>ÅRJÄNG</t>
        </is>
      </c>
      <c r="G677" t="n">
        <v>4.6</v>
      </c>
      <c r="H677" t="n">
        <v>0</v>
      </c>
      <c r="I677" t="n">
        <v>0</v>
      </c>
      <c r="J677" t="n">
        <v>0</v>
      </c>
      <c r="K677" t="n">
        <v>0</v>
      </c>
      <c r="L677" t="n">
        <v>0</v>
      </c>
      <c r="M677" t="n">
        <v>0</v>
      </c>
      <c r="N677" t="n">
        <v>0</v>
      </c>
      <c r="O677" t="n">
        <v>0</v>
      </c>
      <c r="P677" t="n">
        <v>0</v>
      </c>
      <c r="Q677" t="n">
        <v>0</v>
      </c>
      <c r="R677" s="2" t="inlineStr"/>
    </row>
    <row r="678" ht="15" customHeight="1">
      <c r="A678" t="inlineStr">
        <is>
          <t>A 50050-2025</t>
        </is>
      </c>
      <c r="B678" s="1" t="n">
        <v>45942</v>
      </c>
      <c r="C678" s="1" t="n">
        <v>46051</v>
      </c>
      <c r="D678" t="inlineStr">
        <is>
          <t>VÄRMLANDS LÄN</t>
        </is>
      </c>
      <c r="E678" t="inlineStr">
        <is>
          <t>ÅRJÄNG</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50304-2025</t>
        </is>
      </c>
      <c r="B679" s="1" t="n">
        <v>45944</v>
      </c>
      <c r="C679" s="1" t="n">
        <v>46051</v>
      </c>
      <c r="D679" t="inlineStr">
        <is>
          <t>VÄRMLANDS LÄN</t>
        </is>
      </c>
      <c r="E679" t="inlineStr">
        <is>
          <t>ÅRJÄNG</t>
        </is>
      </c>
      <c r="G679" t="n">
        <v>4.7</v>
      </c>
      <c r="H679" t="n">
        <v>0</v>
      </c>
      <c r="I679" t="n">
        <v>0</v>
      </c>
      <c r="J679" t="n">
        <v>0</v>
      </c>
      <c r="K679" t="n">
        <v>0</v>
      </c>
      <c r="L679" t="n">
        <v>0</v>
      </c>
      <c r="M679" t="n">
        <v>0</v>
      </c>
      <c r="N679" t="n">
        <v>0</v>
      </c>
      <c r="O679" t="n">
        <v>0</v>
      </c>
      <c r="P679" t="n">
        <v>0</v>
      </c>
      <c r="Q679" t="n">
        <v>0</v>
      </c>
      <c r="R679" s="2" t="inlineStr"/>
    </row>
    <row r="680" ht="15" customHeight="1">
      <c r="A680" t="inlineStr">
        <is>
          <t>A 64690-2023</t>
        </is>
      </c>
      <c r="B680" s="1" t="n">
        <v>45281.63434027778</v>
      </c>
      <c r="C680" s="1" t="n">
        <v>46051</v>
      </c>
      <c r="D680" t="inlineStr">
        <is>
          <t>VÄRMLANDS LÄN</t>
        </is>
      </c>
      <c r="E680" t="inlineStr">
        <is>
          <t>ÅRJÄNG</t>
        </is>
      </c>
      <c r="G680" t="n">
        <v>2.1</v>
      </c>
      <c r="H680" t="n">
        <v>0</v>
      </c>
      <c r="I680" t="n">
        <v>0</v>
      </c>
      <c r="J680" t="n">
        <v>0</v>
      </c>
      <c r="K680" t="n">
        <v>0</v>
      </c>
      <c r="L680" t="n">
        <v>0</v>
      </c>
      <c r="M680" t="n">
        <v>0</v>
      </c>
      <c r="N680" t="n">
        <v>0</v>
      </c>
      <c r="O680" t="n">
        <v>0</v>
      </c>
      <c r="P680" t="n">
        <v>0</v>
      </c>
      <c r="Q680" t="n">
        <v>0</v>
      </c>
      <c r="R680" s="2" t="inlineStr"/>
    </row>
    <row r="681" ht="15" customHeight="1">
      <c r="A681" t="inlineStr">
        <is>
          <t>A 50931-2025</t>
        </is>
      </c>
      <c r="B681" s="1" t="n">
        <v>45946.68568287037</v>
      </c>
      <c r="C681" s="1" t="n">
        <v>46051</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9489-2025</t>
        </is>
      </c>
      <c r="B682" s="1" t="n">
        <v>45715</v>
      </c>
      <c r="C682" s="1" t="n">
        <v>46051</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50624-2025</t>
        </is>
      </c>
      <c r="B683" s="1" t="n">
        <v>45945.63518518519</v>
      </c>
      <c r="C683" s="1" t="n">
        <v>46051</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50841-2025</t>
        </is>
      </c>
      <c r="B684" s="1" t="n">
        <v>45946.57050925926</v>
      </c>
      <c r="C684" s="1" t="n">
        <v>46051</v>
      </c>
      <c r="D684" t="inlineStr">
        <is>
          <t>VÄRMLANDS LÄN</t>
        </is>
      </c>
      <c r="E684" t="inlineStr">
        <is>
          <t>ÅRJÄNG</t>
        </is>
      </c>
      <c r="F684" t="inlineStr">
        <is>
          <t>Kyrkan</t>
        </is>
      </c>
      <c r="G684" t="n">
        <v>2.4</v>
      </c>
      <c r="H684" t="n">
        <v>0</v>
      </c>
      <c r="I684" t="n">
        <v>0</v>
      </c>
      <c r="J684" t="n">
        <v>0</v>
      </c>
      <c r="K684" t="n">
        <v>0</v>
      </c>
      <c r="L684" t="n">
        <v>0</v>
      </c>
      <c r="M684" t="n">
        <v>0</v>
      </c>
      <c r="N684" t="n">
        <v>0</v>
      </c>
      <c r="O684" t="n">
        <v>0</v>
      </c>
      <c r="P684" t="n">
        <v>0</v>
      </c>
      <c r="Q684" t="n">
        <v>0</v>
      </c>
      <c r="R684" s="2" t="inlineStr"/>
    </row>
    <row r="685" ht="15" customHeight="1">
      <c r="A685" t="inlineStr">
        <is>
          <t>A 50847-2025</t>
        </is>
      </c>
      <c r="B685" s="1" t="n">
        <v>45946.57590277777</v>
      </c>
      <c r="C685" s="1" t="n">
        <v>46051</v>
      </c>
      <c r="D685" t="inlineStr">
        <is>
          <t>VÄRMLANDS LÄN</t>
        </is>
      </c>
      <c r="E685" t="inlineStr">
        <is>
          <t>ÅRJÄNG</t>
        </is>
      </c>
      <c r="F685" t="inlineStr">
        <is>
          <t>Kyrkan</t>
        </is>
      </c>
      <c r="G685" t="n">
        <v>4.3</v>
      </c>
      <c r="H685" t="n">
        <v>0</v>
      </c>
      <c r="I685" t="n">
        <v>0</v>
      </c>
      <c r="J685" t="n">
        <v>0</v>
      </c>
      <c r="K685" t="n">
        <v>0</v>
      </c>
      <c r="L685" t="n">
        <v>0</v>
      </c>
      <c r="M685" t="n">
        <v>0</v>
      </c>
      <c r="N685" t="n">
        <v>0</v>
      </c>
      <c r="O685" t="n">
        <v>0</v>
      </c>
      <c r="P685" t="n">
        <v>0</v>
      </c>
      <c r="Q685" t="n">
        <v>0</v>
      </c>
      <c r="R685" s="2" t="inlineStr"/>
    </row>
    <row r="686" ht="15" customHeight="1">
      <c r="A686" t="inlineStr">
        <is>
          <t>A 7574-2024</t>
        </is>
      </c>
      <c r="B686" s="1" t="n">
        <v>45348</v>
      </c>
      <c r="C686" s="1" t="n">
        <v>46051</v>
      </c>
      <c r="D686" t="inlineStr">
        <is>
          <t>VÄRMLANDS LÄN</t>
        </is>
      </c>
      <c r="E686" t="inlineStr">
        <is>
          <t>ÅRJÄNG</t>
        </is>
      </c>
      <c r="G686" t="n">
        <v>4.6</v>
      </c>
      <c r="H686" t="n">
        <v>0</v>
      </c>
      <c r="I686" t="n">
        <v>0</v>
      </c>
      <c r="J686" t="n">
        <v>0</v>
      </c>
      <c r="K686" t="n">
        <v>0</v>
      </c>
      <c r="L686" t="n">
        <v>0</v>
      </c>
      <c r="M686" t="n">
        <v>0</v>
      </c>
      <c r="N686" t="n">
        <v>0</v>
      </c>
      <c r="O686" t="n">
        <v>0</v>
      </c>
      <c r="P686" t="n">
        <v>0</v>
      </c>
      <c r="Q686" t="n">
        <v>0</v>
      </c>
      <c r="R686" s="2" t="inlineStr"/>
    </row>
    <row r="687" ht="15" customHeight="1">
      <c r="A687" t="inlineStr">
        <is>
          <t>A 24444-2025</t>
        </is>
      </c>
      <c r="B687" s="1" t="n">
        <v>45798</v>
      </c>
      <c r="C687" s="1" t="n">
        <v>46051</v>
      </c>
      <c r="D687" t="inlineStr">
        <is>
          <t>VÄRMLANDS LÄN</t>
        </is>
      </c>
      <c r="E687" t="inlineStr">
        <is>
          <t>ÅRJÄNG</t>
        </is>
      </c>
      <c r="G687" t="n">
        <v>5.1</v>
      </c>
      <c r="H687" t="n">
        <v>0</v>
      </c>
      <c r="I687" t="n">
        <v>0</v>
      </c>
      <c r="J687" t="n">
        <v>0</v>
      </c>
      <c r="K687" t="n">
        <v>0</v>
      </c>
      <c r="L687" t="n">
        <v>0</v>
      </c>
      <c r="M687" t="n">
        <v>0</v>
      </c>
      <c r="N687" t="n">
        <v>0</v>
      </c>
      <c r="O687" t="n">
        <v>0</v>
      </c>
      <c r="P687" t="n">
        <v>0</v>
      </c>
      <c r="Q687" t="n">
        <v>0</v>
      </c>
      <c r="R687" s="2" t="inlineStr"/>
    </row>
    <row r="688" ht="15" customHeight="1">
      <c r="A688" t="inlineStr">
        <is>
          <t>A 60886-2023</t>
        </is>
      </c>
      <c r="B688" s="1" t="n">
        <v>45261</v>
      </c>
      <c r="C688" s="1" t="n">
        <v>46051</v>
      </c>
      <c r="D688" t="inlineStr">
        <is>
          <t>VÄRMLANDS LÄN</t>
        </is>
      </c>
      <c r="E688" t="inlineStr">
        <is>
          <t>ÅRJÄNG</t>
        </is>
      </c>
      <c r="G688" t="n">
        <v>2.9</v>
      </c>
      <c r="H688" t="n">
        <v>0</v>
      </c>
      <c r="I688" t="n">
        <v>0</v>
      </c>
      <c r="J688" t="n">
        <v>0</v>
      </c>
      <c r="K688" t="n">
        <v>0</v>
      </c>
      <c r="L688" t="n">
        <v>0</v>
      </c>
      <c r="M688" t="n">
        <v>0</v>
      </c>
      <c r="N688" t="n">
        <v>0</v>
      </c>
      <c r="O688" t="n">
        <v>0</v>
      </c>
      <c r="P688" t="n">
        <v>0</v>
      </c>
      <c r="Q688" t="n">
        <v>0</v>
      </c>
      <c r="R688" s="2" t="inlineStr"/>
    </row>
    <row r="689" ht="15" customHeight="1">
      <c r="A689" t="inlineStr">
        <is>
          <t>A 50620-2025</t>
        </is>
      </c>
      <c r="B689" s="1" t="n">
        <v>45945.63163194444</v>
      </c>
      <c r="C689" s="1" t="n">
        <v>46051</v>
      </c>
      <c r="D689" t="inlineStr">
        <is>
          <t>VÄRMLANDS LÄN</t>
        </is>
      </c>
      <c r="E689" t="inlineStr">
        <is>
          <t>ÅRJÄNG</t>
        </is>
      </c>
      <c r="G689" t="n">
        <v>7.7</v>
      </c>
      <c r="H689" t="n">
        <v>0</v>
      </c>
      <c r="I689" t="n">
        <v>0</v>
      </c>
      <c r="J689" t="n">
        <v>0</v>
      </c>
      <c r="K689" t="n">
        <v>0</v>
      </c>
      <c r="L689" t="n">
        <v>0</v>
      </c>
      <c r="M689" t="n">
        <v>0</v>
      </c>
      <c r="N689" t="n">
        <v>0</v>
      </c>
      <c r="O689" t="n">
        <v>0</v>
      </c>
      <c r="P689" t="n">
        <v>0</v>
      </c>
      <c r="Q689" t="n">
        <v>0</v>
      </c>
      <c r="R689" s="2" t="inlineStr"/>
    </row>
    <row r="690" ht="15" customHeight="1">
      <c r="A690" t="inlineStr">
        <is>
          <t>A 31622-2024</t>
        </is>
      </c>
      <c r="B690" s="1" t="n">
        <v>45506</v>
      </c>
      <c r="C690" s="1" t="n">
        <v>46051</v>
      </c>
      <c r="D690" t="inlineStr">
        <is>
          <t>VÄRMLANDS LÄN</t>
        </is>
      </c>
      <c r="E690" t="inlineStr">
        <is>
          <t>ÅRJÄNG</t>
        </is>
      </c>
      <c r="G690" t="n">
        <v>4</v>
      </c>
      <c r="H690" t="n">
        <v>0</v>
      </c>
      <c r="I690" t="n">
        <v>0</v>
      </c>
      <c r="J690" t="n">
        <v>0</v>
      </c>
      <c r="K690" t="n">
        <v>0</v>
      </c>
      <c r="L690" t="n">
        <v>0</v>
      </c>
      <c r="M690" t="n">
        <v>0</v>
      </c>
      <c r="N690" t="n">
        <v>0</v>
      </c>
      <c r="O690" t="n">
        <v>0</v>
      </c>
      <c r="P690" t="n">
        <v>0</v>
      </c>
      <c r="Q690" t="n">
        <v>0</v>
      </c>
      <c r="R690" s="2" t="inlineStr"/>
    </row>
    <row r="691" ht="15" customHeight="1">
      <c r="A691" t="inlineStr">
        <is>
          <t>A 50554-2025</t>
        </is>
      </c>
      <c r="B691" s="1" t="n">
        <v>45945.52561342593</v>
      </c>
      <c r="C691" s="1" t="n">
        <v>46051</v>
      </c>
      <c r="D691" t="inlineStr">
        <is>
          <t>VÄRMLANDS LÄN</t>
        </is>
      </c>
      <c r="E691" t="inlineStr">
        <is>
          <t>ÅRJÄNG</t>
        </is>
      </c>
      <c r="G691" t="n">
        <v>1.5</v>
      </c>
      <c r="H691" t="n">
        <v>0</v>
      </c>
      <c r="I691" t="n">
        <v>0</v>
      </c>
      <c r="J691" t="n">
        <v>0</v>
      </c>
      <c r="K691" t="n">
        <v>0</v>
      </c>
      <c r="L691" t="n">
        <v>0</v>
      </c>
      <c r="M691" t="n">
        <v>0</v>
      </c>
      <c r="N691" t="n">
        <v>0</v>
      </c>
      <c r="O691" t="n">
        <v>0</v>
      </c>
      <c r="P691" t="n">
        <v>0</v>
      </c>
      <c r="Q691" t="n">
        <v>0</v>
      </c>
      <c r="R691" s="2" t="inlineStr"/>
    </row>
    <row r="692" ht="15" customHeight="1">
      <c r="A692" t="inlineStr">
        <is>
          <t>A 24216-2024</t>
        </is>
      </c>
      <c r="B692" s="1" t="n">
        <v>45457</v>
      </c>
      <c r="C692" s="1" t="n">
        <v>46051</v>
      </c>
      <c r="D692" t="inlineStr">
        <is>
          <t>VÄRMLANDS LÄN</t>
        </is>
      </c>
      <c r="E692" t="inlineStr">
        <is>
          <t>ÅRJÄNG</t>
        </is>
      </c>
      <c r="G692" t="n">
        <v>2</v>
      </c>
      <c r="H692" t="n">
        <v>0</v>
      </c>
      <c r="I692" t="n">
        <v>0</v>
      </c>
      <c r="J692" t="n">
        <v>0</v>
      </c>
      <c r="K692" t="n">
        <v>0</v>
      </c>
      <c r="L692" t="n">
        <v>0</v>
      </c>
      <c r="M692" t="n">
        <v>0</v>
      </c>
      <c r="N692" t="n">
        <v>0</v>
      </c>
      <c r="O692" t="n">
        <v>0</v>
      </c>
      <c r="P692" t="n">
        <v>0</v>
      </c>
      <c r="Q692" t="n">
        <v>0</v>
      </c>
      <c r="R692" s="2" t="inlineStr"/>
    </row>
    <row r="693" ht="15" customHeight="1">
      <c r="A693" t="inlineStr">
        <is>
          <t>A 24445-2025</t>
        </is>
      </c>
      <c r="B693" s="1" t="n">
        <v>45798</v>
      </c>
      <c r="C693" s="1" t="n">
        <v>46051</v>
      </c>
      <c r="D693" t="inlineStr">
        <is>
          <t>VÄRMLANDS LÄN</t>
        </is>
      </c>
      <c r="E693" t="inlineStr">
        <is>
          <t>ÅRJÄNG</t>
        </is>
      </c>
      <c r="G693" t="n">
        <v>6.4</v>
      </c>
      <c r="H693" t="n">
        <v>0</v>
      </c>
      <c r="I693" t="n">
        <v>0</v>
      </c>
      <c r="J693" t="n">
        <v>0</v>
      </c>
      <c r="K693" t="n">
        <v>0</v>
      </c>
      <c r="L693" t="n">
        <v>0</v>
      </c>
      <c r="M693" t="n">
        <v>0</v>
      </c>
      <c r="N693" t="n">
        <v>0</v>
      </c>
      <c r="O693" t="n">
        <v>0</v>
      </c>
      <c r="P693" t="n">
        <v>0</v>
      </c>
      <c r="Q693" t="n">
        <v>0</v>
      </c>
      <c r="R693" s="2" t="inlineStr"/>
    </row>
    <row r="694" ht="15" customHeight="1">
      <c r="A694" t="inlineStr">
        <is>
          <t>A 50709-2025</t>
        </is>
      </c>
      <c r="B694" s="1" t="n">
        <v>45946</v>
      </c>
      <c r="C694" s="1" t="n">
        <v>46051</v>
      </c>
      <c r="D694" t="inlineStr">
        <is>
          <t>VÄRMLANDS LÄN</t>
        </is>
      </c>
      <c r="E694" t="inlineStr">
        <is>
          <t>ÅRJÄNG</t>
        </is>
      </c>
      <c r="G694" t="n">
        <v>3.3</v>
      </c>
      <c r="H694" t="n">
        <v>0</v>
      </c>
      <c r="I694" t="n">
        <v>0</v>
      </c>
      <c r="J694" t="n">
        <v>0</v>
      </c>
      <c r="K694" t="n">
        <v>0</v>
      </c>
      <c r="L694" t="n">
        <v>0</v>
      </c>
      <c r="M694" t="n">
        <v>0</v>
      </c>
      <c r="N694" t="n">
        <v>0</v>
      </c>
      <c r="O694" t="n">
        <v>0</v>
      </c>
      <c r="P694" t="n">
        <v>0</v>
      </c>
      <c r="Q694" t="n">
        <v>0</v>
      </c>
      <c r="R694" s="2" t="inlineStr"/>
    </row>
    <row r="695" ht="15" customHeight="1">
      <c r="A695" t="inlineStr">
        <is>
          <t>A 50545-2025</t>
        </is>
      </c>
      <c r="B695" s="1" t="n">
        <v>45945.50777777778</v>
      </c>
      <c r="C695" s="1" t="n">
        <v>46051</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50551-2025</t>
        </is>
      </c>
      <c r="B696" s="1" t="n">
        <v>45945.52244212963</v>
      </c>
      <c r="C696" s="1" t="n">
        <v>46051</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50498-2025</t>
        </is>
      </c>
      <c r="B697" s="1" t="n">
        <v>45945.41553240741</v>
      </c>
      <c r="C697" s="1" t="n">
        <v>46051</v>
      </c>
      <c r="D697" t="inlineStr">
        <is>
          <t>VÄRMLANDS LÄN</t>
        </is>
      </c>
      <c r="E697" t="inlineStr">
        <is>
          <t>ÅRJÄNG</t>
        </is>
      </c>
      <c r="G697" t="n">
        <v>4.5</v>
      </c>
      <c r="H697" t="n">
        <v>0</v>
      </c>
      <c r="I697" t="n">
        <v>0</v>
      </c>
      <c r="J697" t="n">
        <v>0</v>
      </c>
      <c r="K697" t="n">
        <v>0</v>
      </c>
      <c r="L697" t="n">
        <v>0</v>
      </c>
      <c r="M697" t="n">
        <v>0</v>
      </c>
      <c r="N697" t="n">
        <v>0</v>
      </c>
      <c r="O697" t="n">
        <v>0</v>
      </c>
      <c r="P697" t="n">
        <v>0</v>
      </c>
      <c r="Q697" t="n">
        <v>0</v>
      </c>
      <c r="R697" s="2" t="inlineStr"/>
    </row>
    <row r="698" ht="15" customHeight="1">
      <c r="A698" t="inlineStr">
        <is>
          <t>A 50112-2024</t>
        </is>
      </c>
      <c r="B698" s="1" t="n">
        <v>45600</v>
      </c>
      <c r="C698" s="1" t="n">
        <v>46051</v>
      </c>
      <c r="D698" t="inlineStr">
        <is>
          <t>VÄRMLANDS LÄN</t>
        </is>
      </c>
      <c r="E698" t="inlineStr">
        <is>
          <t>ÅRJÄNG</t>
        </is>
      </c>
      <c r="G698" t="n">
        <v>2.8</v>
      </c>
      <c r="H698" t="n">
        <v>0</v>
      </c>
      <c r="I698" t="n">
        <v>0</v>
      </c>
      <c r="J698" t="n">
        <v>0</v>
      </c>
      <c r="K698" t="n">
        <v>0</v>
      </c>
      <c r="L698" t="n">
        <v>0</v>
      </c>
      <c r="M698" t="n">
        <v>0</v>
      </c>
      <c r="N698" t="n">
        <v>0</v>
      </c>
      <c r="O698" t="n">
        <v>0</v>
      </c>
      <c r="P698" t="n">
        <v>0</v>
      </c>
      <c r="Q698" t="n">
        <v>0</v>
      </c>
      <c r="R698" s="2" t="inlineStr"/>
    </row>
    <row r="699" ht="15" customHeight="1">
      <c r="A699" t="inlineStr">
        <is>
          <t>A 18388-2025</t>
        </is>
      </c>
      <c r="B699" s="1" t="n">
        <v>45762</v>
      </c>
      <c r="C699" s="1" t="n">
        <v>46051</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56168-2024</t>
        </is>
      </c>
      <c r="B700" s="1" t="n">
        <v>45623</v>
      </c>
      <c r="C700" s="1" t="n">
        <v>46051</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1912-2024</t>
        </is>
      </c>
      <c r="B701" s="1" t="n">
        <v>45308</v>
      </c>
      <c r="C701" s="1" t="n">
        <v>46051</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38167-2022</t>
        </is>
      </c>
      <c r="B702" s="1" t="n">
        <v>44812</v>
      </c>
      <c r="C702" s="1" t="n">
        <v>46051</v>
      </c>
      <c r="D702" t="inlineStr">
        <is>
          <t>VÄRMLANDS LÄN</t>
        </is>
      </c>
      <c r="E702" t="inlineStr">
        <is>
          <t>ÅRJÄNG</t>
        </is>
      </c>
      <c r="G702" t="n">
        <v>10.5</v>
      </c>
      <c r="H702" t="n">
        <v>0</v>
      </c>
      <c r="I702" t="n">
        <v>0</v>
      </c>
      <c r="J702" t="n">
        <v>0</v>
      </c>
      <c r="K702" t="n">
        <v>0</v>
      </c>
      <c r="L702" t="n">
        <v>0</v>
      </c>
      <c r="M702" t="n">
        <v>0</v>
      </c>
      <c r="N702" t="n">
        <v>0</v>
      </c>
      <c r="O702" t="n">
        <v>0</v>
      </c>
      <c r="P702" t="n">
        <v>0</v>
      </c>
      <c r="Q702" t="n">
        <v>0</v>
      </c>
      <c r="R702" s="2" t="inlineStr"/>
    </row>
    <row r="703" ht="15" customHeight="1">
      <c r="A703" t="inlineStr">
        <is>
          <t>A 57161-2024</t>
        </is>
      </c>
      <c r="B703" s="1" t="n">
        <v>45628</v>
      </c>
      <c r="C703" s="1" t="n">
        <v>46051</v>
      </c>
      <c r="D703" t="inlineStr">
        <is>
          <t>VÄRMLANDS LÄN</t>
        </is>
      </c>
      <c r="E703" t="inlineStr">
        <is>
          <t>ÅRJÄNG</t>
        </is>
      </c>
      <c r="G703" t="n">
        <v>0.9</v>
      </c>
      <c r="H703" t="n">
        <v>0</v>
      </c>
      <c r="I703" t="n">
        <v>0</v>
      </c>
      <c r="J703" t="n">
        <v>0</v>
      </c>
      <c r="K703" t="n">
        <v>0</v>
      </c>
      <c r="L703" t="n">
        <v>0</v>
      </c>
      <c r="M703" t="n">
        <v>0</v>
      </c>
      <c r="N703" t="n">
        <v>0</v>
      </c>
      <c r="O703" t="n">
        <v>0</v>
      </c>
      <c r="P703" t="n">
        <v>0</v>
      </c>
      <c r="Q703" t="n">
        <v>0</v>
      </c>
      <c r="R703" s="2" t="inlineStr"/>
    </row>
    <row r="704" ht="15" customHeight="1">
      <c r="A704" t="inlineStr">
        <is>
          <t>A 60202-2023</t>
        </is>
      </c>
      <c r="B704" s="1" t="n">
        <v>45257</v>
      </c>
      <c r="C704" s="1" t="n">
        <v>46051</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51282-2025</t>
        </is>
      </c>
      <c r="B705" s="1" t="n">
        <v>45950.33694444445</v>
      </c>
      <c r="C705" s="1" t="n">
        <v>46051</v>
      </c>
      <c r="D705" t="inlineStr">
        <is>
          <t>VÄRMLANDS LÄN</t>
        </is>
      </c>
      <c r="E705" t="inlineStr">
        <is>
          <t>ÅRJÄNG</t>
        </is>
      </c>
      <c r="F705" t="inlineStr">
        <is>
          <t>Bergvik skog väst AB</t>
        </is>
      </c>
      <c r="G705" t="n">
        <v>2.4</v>
      </c>
      <c r="H705" t="n">
        <v>0</v>
      </c>
      <c r="I705" t="n">
        <v>0</v>
      </c>
      <c r="J705" t="n">
        <v>0</v>
      </c>
      <c r="K705" t="n">
        <v>0</v>
      </c>
      <c r="L705" t="n">
        <v>0</v>
      </c>
      <c r="M705" t="n">
        <v>0</v>
      </c>
      <c r="N705" t="n">
        <v>0</v>
      </c>
      <c r="O705" t="n">
        <v>0</v>
      </c>
      <c r="P705" t="n">
        <v>0</v>
      </c>
      <c r="Q705" t="n">
        <v>0</v>
      </c>
      <c r="R705" s="2" t="inlineStr"/>
    </row>
    <row r="706" ht="15" customHeight="1">
      <c r="A706" t="inlineStr">
        <is>
          <t>A 51430-2025</t>
        </is>
      </c>
      <c r="B706" s="1" t="n">
        <v>45950.54824074074</v>
      </c>
      <c r="C706" s="1" t="n">
        <v>46051</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51435-2025</t>
        </is>
      </c>
      <c r="B707" s="1" t="n">
        <v>45950.56015046296</v>
      </c>
      <c r="C707" s="1" t="n">
        <v>46051</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4088-2025</t>
        </is>
      </c>
      <c r="B708" s="1" t="n">
        <v>45684.66329861111</v>
      </c>
      <c r="C708" s="1" t="n">
        <v>46051</v>
      </c>
      <c r="D708" t="inlineStr">
        <is>
          <t>VÄRMLANDS LÄN</t>
        </is>
      </c>
      <c r="E708" t="inlineStr">
        <is>
          <t>ÅRJÄNG</t>
        </is>
      </c>
      <c r="G708" t="n">
        <v>4.1</v>
      </c>
      <c r="H708" t="n">
        <v>0</v>
      </c>
      <c r="I708" t="n">
        <v>0</v>
      </c>
      <c r="J708" t="n">
        <v>0</v>
      </c>
      <c r="K708" t="n">
        <v>0</v>
      </c>
      <c r="L708" t="n">
        <v>0</v>
      </c>
      <c r="M708" t="n">
        <v>0</v>
      </c>
      <c r="N708" t="n">
        <v>0</v>
      </c>
      <c r="O708" t="n">
        <v>0</v>
      </c>
      <c r="P708" t="n">
        <v>0</v>
      </c>
      <c r="Q708" t="n">
        <v>0</v>
      </c>
      <c r="R708" s="2" t="inlineStr"/>
    </row>
    <row r="709" ht="15" customHeight="1">
      <c r="A709" t="inlineStr">
        <is>
          <t>A 42236-2024</t>
        </is>
      </c>
      <c r="B709" s="1" t="n">
        <v>45562</v>
      </c>
      <c r="C709" s="1" t="n">
        <v>46051</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59484-2024</t>
        </is>
      </c>
      <c r="B710" s="1" t="n">
        <v>45638</v>
      </c>
      <c r="C710" s="1" t="n">
        <v>46051</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51260-2024</t>
        </is>
      </c>
      <c r="B711" s="1" t="n">
        <v>45602</v>
      </c>
      <c r="C711" s="1" t="n">
        <v>46051</v>
      </c>
      <c r="D711" t="inlineStr">
        <is>
          <t>VÄRMLANDS LÄN</t>
        </is>
      </c>
      <c r="E711" t="inlineStr">
        <is>
          <t>ÅRJÄNG</t>
        </is>
      </c>
      <c r="G711" t="n">
        <v>1.7</v>
      </c>
      <c r="H711" t="n">
        <v>0</v>
      </c>
      <c r="I711" t="n">
        <v>0</v>
      </c>
      <c r="J711" t="n">
        <v>0</v>
      </c>
      <c r="K711" t="n">
        <v>0</v>
      </c>
      <c r="L711" t="n">
        <v>0</v>
      </c>
      <c r="M711" t="n">
        <v>0</v>
      </c>
      <c r="N711" t="n">
        <v>0</v>
      </c>
      <c r="O711" t="n">
        <v>0</v>
      </c>
      <c r="P711" t="n">
        <v>0</v>
      </c>
      <c r="Q711" t="n">
        <v>0</v>
      </c>
      <c r="R711" s="2" t="inlineStr"/>
    </row>
    <row r="712" ht="15" customHeight="1">
      <c r="A712" t="inlineStr">
        <is>
          <t>A 41205-2024</t>
        </is>
      </c>
      <c r="B712" s="1" t="n">
        <v>45559</v>
      </c>
      <c r="C712" s="1" t="n">
        <v>46051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29570-2023</t>
        </is>
      </c>
      <c r="B713" s="1" t="n">
        <v>45106.6989699074</v>
      </c>
      <c r="C713" s="1" t="n">
        <v>46051</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52382-2024</t>
        </is>
      </c>
      <c r="B714" s="1" t="n">
        <v>45608</v>
      </c>
      <c r="C714" s="1" t="n">
        <v>46051</v>
      </c>
      <c r="D714" t="inlineStr">
        <is>
          <t>VÄRMLANDS LÄN</t>
        </is>
      </c>
      <c r="E714" t="inlineStr">
        <is>
          <t>ÅRJÄNG</t>
        </is>
      </c>
      <c r="G714" t="n">
        <v>8.9</v>
      </c>
      <c r="H714" t="n">
        <v>0</v>
      </c>
      <c r="I714" t="n">
        <v>0</v>
      </c>
      <c r="J714" t="n">
        <v>0</v>
      </c>
      <c r="K714" t="n">
        <v>0</v>
      </c>
      <c r="L714" t="n">
        <v>0</v>
      </c>
      <c r="M714" t="n">
        <v>0</v>
      </c>
      <c r="N714" t="n">
        <v>0</v>
      </c>
      <c r="O714" t="n">
        <v>0</v>
      </c>
      <c r="P714" t="n">
        <v>0</v>
      </c>
      <c r="Q714" t="n">
        <v>0</v>
      </c>
      <c r="R714" s="2" t="inlineStr"/>
    </row>
    <row r="715" ht="15" customHeight="1">
      <c r="A715" t="inlineStr">
        <is>
          <t>A 52709-2025</t>
        </is>
      </c>
      <c r="B715" s="1" t="n">
        <v>45953</v>
      </c>
      <c r="C715" s="1" t="n">
        <v>46051</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56917-2024</t>
        </is>
      </c>
      <c r="B716" s="1" t="n">
        <v>45628</v>
      </c>
      <c r="C716" s="1" t="n">
        <v>46051</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46318-2024</t>
        </is>
      </c>
      <c r="B717" s="1" t="n">
        <v>45581.75744212963</v>
      </c>
      <c r="C717" s="1" t="n">
        <v>46051</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18796-2023</t>
        </is>
      </c>
      <c r="B718" s="1" t="n">
        <v>45044.31065972222</v>
      </c>
      <c r="C718" s="1" t="n">
        <v>46051</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65849-2021</t>
        </is>
      </c>
      <c r="B719" s="1" t="n">
        <v>44517</v>
      </c>
      <c r="C719" s="1" t="n">
        <v>46051</v>
      </c>
      <c r="D719" t="inlineStr">
        <is>
          <t>VÄRMLANDS LÄN</t>
        </is>
      </c>
      <c r="E719" t="inlineStr">
        <is>
          <t>ÅRJÄNG</t>
        </is>
      </c>
      <c r="G719" t="n">
        <v>3.3</v>
      </c>
      <c r="H719" t="n">
        <v>0</v>
      </c>
      <c r="I719" t="n">
        <v>0</v>
      </c>
      <c r="J719" t="n">
        <v>0</v>
      </c>
      <c r="K719" t="n">
        <v>0</v>
      </c>
      <c r="L719" t="n">
        <v>0</v>
      </c>
      <c r="M719" t="n">
        <v>0</v>
      </c>
      <c r="N719" t="n">
        <v>0</v>
      </c>
      <c r="O719" t="n">
        <v>0</v>
      </c>
      <c r="P719" t="n">
        <v>0</v>
      </c>
      <c r="Q719" t="n">
        <v>0</v>
      </c>
      <c r="R719" s="2" t="inlineStr"/>
    </row>
    <row r="720" ht="15" customHeight="1">
      <c r="A720" t="inlineStr">
        <is>
          <t>A 37409-2025</t>
        </is>
      </c>
      <c r="B720" s="1" t="n">
        <v>45877</v>
      </c>
      <c r="C720" s="1" t="n">
        <v>46051</v>
      </c>
      <c r="D720" t="inlineStr">
        <is>
          <t>VÄRMLANDS LÄN</t>
        </is>
      </c>
      <c r="E720" t="inlineStr">
        <is>
          <t>ÅRJÄNG</t>
        </is>
      </c>
      <c r="G720" t="n">
        <v>4.8</v>
      </c>
      <c r="H720" t="n">
        <v>0</v>
      </c>
      <c r="I720" t="n">
        <v>0</v>
      </c>
      <c r="J720" t="n">
        <v>0</v>
      </c>
      <c r="K720" t="n">
        <v>0</v>
      </c>
      <c r="L720" t="n">
        <v>0</v>
      </c>
      <c r="M720" t="n">
        <v>0</v>
      </c>
      <c r="N720" t="n">
        <v>0</v>
      </c>
      <c r="O720" t="n">
        <v>0</v>
      </c>
      <c r="P720" t="n">
        <v>0</v>
      </c>
      <c r="Q720" t="n">
        <v>0</v>
      </c>
      <c r="R720" s="2" t="inlineStr"/>
    </row>
    <row r="721" ht="15" customHeight="1">
      <c r="A721" t="inlineStr">
        <is>
          <t>A 53123-2024</t>
        </is>
      </c>
      <c r="B721" s="1" t="n">
        <v>45611.58819444444</v>
      </c>
      <c r="C721" s="1" t="n">
        <v>46051</v>
      </c>
      <c r="D721" t="inlineStr">
        <is>
          <t>VÄRMLANDS LÄN</t>
        </is>
      </c>
      <c r="E721" t="inlineStr">
        <is>
          <t>ÅRJÄNG</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53103-2025</t>
        </is>
      </c>
      <c r="B722" s="1" t="n">
        <v>45958.43097222222</v>
      </c>
      <c r="C722" s="1" t="n">
        <v>46051</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53022-2025</t>
        </is>
      </c>
      <c r="B723" s="1" t="n">
        <v>45958.24024305555</v>
      </c>
      <c r="C723" s="1" t="n">
        <v>46051</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1153-2023</t>
        </is>
      </c>
      <c r="B724" s="1" t="n">
        <v>44935</v>
      </c>
      <c r="C724" s="1" t="n">
        <v>46051</v>
      </c>
      <c r="D724" t="inlineStr">
        <is>
          <t>VÄRMLANDS LÄN</t>
        </is>
      </c>
      <c r="E724" t="inlineStr">
        <is>
          <t>ÅRJÄNG</t>
        </is>
      </c>
      <c r="G724" t="n">
        <v>3.2</v>
      </c>
      <c r="H724" t="n">
        <v>0</v>
      </c>
      <c r="I724" t="n">
        <v>0</v>
      </c>
      <c r="J724" t="n">
        <v>0</v>
      </c>
      <c r="K724" t="n">
        <v>0</v>
      </c>
      <c r="L724" t="n">
        <v>0</v>
      </c>
      <c r="M724" t="n">
        <v>0</v>
      </c>
      <c r="N724" t="n">
        <v>0</v>
      </c>
      <c r="O724" t="n">
        <v>0</v>
      </c>
      <c r="P724" t="n">
        <v>0</v>
      </c>
      <c r="Q724" t="n">
        <v>0</v>
      </c>
      <c r="R724" s="2" t="inlineStr"/>
    </row>
    <row r="725" ht="15" customHeight="1">
      <c r="A725" t="inlineStr">
        <is>
          <t>A 11265-2021</t>
        </is>
      </c>
      <c r="B725" s="1" t="n">
        <v>44263.44670138889</v>
      </c>
      <c r="C725" s="1" t="n">
        <v>46051</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53024-2025</t>
        </is>
      </c>
      <c r="B726" s="1" t="n">
        <v>45958.32211805556</v>
      </c>
      <c r="C726" s="1" t="n">
        <v>46051</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14340-2023</t>
        </is>
      </c>
      <c r="B727" s="1" t="n">
        <v>45012.36368055556</v>
      </c>
      <c r="C727" s="1" t="n">
        <v>46051</v>
      </c>
      <c r="D727" t="inlineStr">
        <is>
          <t>VÄRMLANDS LÄN</t>
        </is>
      </c>
      <c r="E727" t="inlineStr">
        <is>
          <t>ÅRJÄNG</t>
        </is>
      </c>
      <c r="G727" t="n">
        <v>3.1</v>
      </c>
      <c r="H727" t="n">
        <v>0</v>
      </c>
      <c r="I727" t="n">
        <v>0</v>
      </c>
      <c r="J727" t="n">
        <v>0</v>
      </c>
      <c r="K727" t="n">
        <v>0</v>
      </c>
      <c r="L727" t="n">
        <v>0</v>
      </c>
      <c r="M727" t="n">
        <v>0</v>
      </c>
      <c r="N727" t="n">
        <v>0</v>
      </c>
      <c r="O727" t="n">
        <v>0</v>
      </c>
      <c r="P727" t="n">
        <v>0</v>
      </c>
      <c r="Q727" t="n">
        <v>0</v>
      </c>
      <c r="R727" s="2" t="inlineStr"/>
    </row>
    <row r="728" ht="15" customHeight="1">
      <c r="A728" t="inlineStr">
        <is>
          <t>A 53160-2025</t>
        </is>
      </c>
      <c r="B728" s="1" t="n">
        <v>45958.49123842592</v>
      </c>
      <c r="C728" s="1" t="n">
        <v>46051</v>
      </c>
      <c r="D728" t="inlineStr">
        <is>
          <t>VÄRMLANDS LÄN</t>
        </is>
      </c>
      <c r="E728" t="inlineStr">
        <is>
          <t>ÅRJÄNG</t>
        </is>
      </c>
      <c r="G728" t="n">
        <v>1.9</v>
      </c>
      <c r="H728" t="n">
        <v>0</v>
      </c>
      <c r="I728" t="n">
        <v>0</v>
      </c>
      <c r="J728" t="n">
        <v>0</v>
      </c>
      <c r="K728" t="n">
        <v>0</v>
      </c>
      <c r="L728" t="n">
        <v>0</v>
      </c>
      <c r="M728" t="n">
        <v>0</v>
      </c>
      <c r="N728" t="n">
        <v>0</v>
      </c>
      <c r="O728" t="n">
        <v>0</v>
      </c>
      <c r="P728" t="n">
        <v>0</v>
      </c>
      <c r="Q728" t="n">
        <v>0</v>
      </c>
      <c r="R728" s="2" t="inlineStr"/>
    </row>
    <row r="729" ht="15" customHeight="1">
      <c r="A729" t="inlineStr">
        <is>
          <t>A 49795-2024</t>
        </is>
      </c>
      <c r="B729" s="1" t="n">
        <v>45597.3713425926</v>
      </c>
      <c r="C729" s="1" t="n">
        <v>46051</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53073-2025</t>
        </is>
      </c>
      <c r="B730" s="1" t="n">
        <v>45958.38311342592</v>
      </c>
      <c r="C730" s="1" t="n">
        <v>46051</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53158-2025</t>
        </is>
      </c>
      <c r="B731" s="1" t="n">
        <v>45958.49064814814</v>
      </c>
      <c r="C731" s="1" t="n">
        <v>46051</v>
      </c>
      <c r="D731" t="inlineStr">
        <is>
          <t>VÄRMLANDS LÄN</t>
        </is>
      </c>
      <c r="E731" t="inlineStr">
        <is>
          <t>ÅRJÄNG</t>
        </is>
      </c>
      <c r="G731" t="n">
        <v>1</v>
      </c>
      <c r="H731" t="n">
        <v>0</v>
      </c>
      <c r="I731" t="n">
        <v>0</v>
      </c>
      <c r="J731" t="n">
        <v>0</v>
      </c>
      <c r="K731" t="n">
        <v>0</v>
      </c>
      <c r="L731" t="n">
        <v>0</v>
      </c>
      <c r="M731" t="n">
        <v>0</v>
      </c>
      <c r="N731" t="n">
        <v>0</v>
      </c>
      <c r="O731" t="n">
        <v>0</v>
      </c>
      <c r="P731" t="n">
        <v>0</v>
      </c>
      <c r="Q731" t="n">
        <v>0</v>
      </c>
      <c r="R731" s="2" t="inlineStr"/>
    </row>
    <row r="732" ht="15" customHeight="1">
      <c r="A732" t="inlineStr">
        <is>
          <t>A 24342-2024</t>
        </is>
      </c>
      <c r="B732" s="1" t="n">
        <v>45457</v>
      </c>
      <c r="C732" s="1" t="n">
        <v>46051</v>
      </c>
      <c r="D732" t="inlineStr">
        <is>
          <t>VÄRMLANDS LÄN</t>
        </is>
      </c>
      <c r="E732" t="inlineStr">
        <is>
          <t>ÅRJÄNG</t>
        </is>
      </c>
      <c r="G732" t="n">
        <v>0.8</v>
      </c>
      <c r="H732" t="n">
        <v>0</v>
      </c>
      <c r="I732" t="n">
        <v>0</v>
      </c>
      <c r="J732" t="n">
        <v>0</v>
      </c>
      <c r="K732" t="n">
        <v>0</v>
      </c>
      <c r="L732" t="n">
        <v>0</v>
      </c>
      <c r="M732" t="n">
        <v>0</v>
      </c>
      <c r="N732" t="n">
        <v>0</v>
      </c>
      <c r="O732" t="n">
        <v>0</v>
      </c>
      <c r="P732" t="n">
        <v>0</v>
      </c>
      <c r="Q732" t="n">
        <v>0</v>
      </c>
      <c r="R732" s="2" t="inlineStr"/>
    </row>
    <row r="733" ht="15" customHeight="1">
      <c r="A733" t="inlineStr">
        <is>
          <t>A 2116-2025</t>
        </is>
      </c>
      <c r="B733" s="1" t="n">
        <v>45672</v>
      </c>
      <c r="C733" s="1" t="n">
        <v>46051</v>
      </c>
      <c r="D733" t="inlineStr">
        <is>
          <t>VÄRMLANDS LÄN</t>
        </is>
      </c>
      <c r="E733" t="inlineStr">
        <is>
          <t>ÅRJÄNG</t>
        </is>
      </c>
      <c r="G733" t="n">
        <v>3.8</v>
      </c>
      <c r="H733" t="n">
        <v>0</v>
      </c>
      <c r="I733" t="n">
        <v>0</v>
      </c>
      <c r="J733" t="n">
        <v>0</v>
      </c>
      <c r="K733" t="n">
        <v>0</v>
      </c>
      <c r="L733" t="n">
        <v>0</v>
      </c>
      <c r="M733" t="n">
        <v>0</v>
      </c>
      <c r="N733" t="n">
        <v>0</v>
      </c>
      <c r="O733" t="n">
        <v>0</v>
      </c>
      <c r="P733" t="n">
        <v>0</v>
      </c>
      <c r="Q733" t="n">
        <v>0</v>
      </c>
      <c r="R733" s="2" t="inlineStr"/>
    </row>
    <row r="734" ht="15" customHeight="1">
      <c r="A734" t="inlineStr">
        <is>
          <t>A 52855-2025</t>
        </is>
      </c>
      <c r="B734" s="1" t="n">
        <v>45957.50030092592</v>
      </c>
      <c r="C734" s="1" t="n">
        <v>46051</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53726-2021</t>
        </is>
      </c>
      <c r="B735" s="1" t="n">
        <v>44469.51079861111</v>
      </c>
      <c r="C735" s="1" t="n">
        <v>46051</v>
      </c>
      <c r="D735" t="inlineStr">
        <is>
          <t>VÄRMLANDS LÄN</t>
        </is>
      </c>
      <c r="E735" t="inlineStr">
        <is>
          <t>ÅRJÄNG</t>
        </is>
      </c>
      <c r="G735" t="n">
        <v>3.2</v>
      </c>
      <c r="H735" t="n">
        <v>0</v>
      </c>
      <c r="I735" t="n">
        <v>0</v>
      </c>
      <c r="J735" t="n">
        <v>0</v>
      </c>
      <c r="K735" t="n">
        <v>0</v>
      </c>
      <c r="L735" t="n">
        <v>0</v>
      </c>
      <c r="M735" t="n">
        <v>0</v>
      </c>
      <c r="N735" t="n">
        <v>0</v>
      </c>
      <c r="O735" t="n">
        <v>0</v>
      </c>
      <c r="P735" t="n">
        <v>0</v>
      </c>
      <c r="Q735" t="n">
        <v>0</v>
      </c>
      <c r="R735" s="2" t="inlineStr"/>
    </row>
    <row r="736" ht="15" customHeight="1">
      <c r="A736" t="inlineStr">
        <is>
          <t>A 13157-2024</t>
        </is>
      </c>
      <c r="B736" s="1" t="n">
        <v>45386</v>
      </c>
      <c r="C736" s="1" t="n">
        <v>46051</v>
      </c>
      <c r="D736" t="inlineStr">
        <is>
          <t>VÄRMLANDS LÄN</t>
        </is>
      </c>
      <c r="E736" t="inlineStr">
        <is>
          <t>ÅRJÄNG</t>
        </is>
      </c>
      <c r="G736" t="n">
        <v>1.8</v>
      </c>
      <c r="H736" t="n">
        <v>0</v>
      </c>
      <c r="I736" t="n">
        <v>0</v>
      </c>
      <c r="J736" t="n">
        <v>0</v>
      </c>
      <c r="K736" t="n">
        <v>0</v>
      </c>
      <c r="L736" t="n">
        <v>0</v>
      </c>
      <c r="M736" t="n">
        <v>0</v>
      </c>
      <c r="N736" t="n">
        <v>0</v>
      </c>
      <c r="O736" t="n">
        <v>0</v>
      </c>
      <c r="P736" t="n">
        <v>0</v>
      </c>
      <c r="Q736" t="n">
        <v>0</v>
      </c>
      <c r="R736" s="2" t="inlineStr"/>
    </row>
    <row r="737" ht="15" customHeight="1">
      <c r="A737" t="inlineStr">
        <is>
          <t>A 53298-2025</t>
        </is>
      </c>
      <c r="B737" s="1" t="n">
        <v>45959.23447916667</v>
      </c>
      <c r="C737" s="1" t="n">
        <v>46051</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50509-2024</t>
        </is>
      </c>
      <c r="B738" s="1" t="n">
        <v>45601</v>
      </c>
      <c r="C738" s="1" t="n">
        <v>46051</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53642-2025</t>
        </is>
      </c>
      <c r="B739" s="1" t="n">
        <v>45960.51290509259</v>
      </c>
      <c r="C739" s="1" t="n">
        <v>46051</v>
      </c>
      <c r="D739" t="inlineStr">
        <is>
          <t>VÄRMLANDS LÄN</t>
        </is>
      </c>
      <c r="E739" t="inlineStr">
        <is>
          <t>ÅRJÄNG</t>
        </is>
      </c>
      <c r="G739" t="n">
        <v>3.7</v>
      </c>
      <c r="H739" t="n">
        <v>0</v>
      </c>
      <c r="I739" t="n">
        <v>0</v>
      </c>
      <c r="J739" t="n">
        <v>0</v>
      </c>
      <c r="K739" t="n">
        <v>0</v>
      </c>
      <c r="L739" t="n">
        <v>0</v>
      </c>
      <c r="M739" t="n">
        <v>0</v>
      </c>
      <c r="N739" t="n">
        <v>0</v>
      </c>
      <c r="O739" t="n">
        <v>0</v>
      </c>
      <c r="P739" t="n">
        <v>0</v>
      </c>
      <c r="Q739" t="n">
        <v>0</v>
      </c>
      <c r="R739" s="2" t="inlineStr"/>
    </row>
    <row r="740" ht="15" customHeight="1">
      <c r="A740" t="inlineStr">
        <is>
          <t>A 32773-2024</t>
        </is>
      </c>
      <c r="B740" s="1" t="n">
        <v>45516.49834490741</v>
      </c>
      <c r="C740" s="1" t="n">
        <v>46051</v>
      </c>
      <c r="D740" t="inlineStr">
        <is>
          <t>VÄRMLANDS LÄN</t>
        </is>
      </c>
      <c r="E740" t="inlineStr">
        <is>
          <t>ÅRJÄNG</t>
        </is>
      </c>
      <c r="G740" t="n">
        <v>1.5</v>
      </c>
      <c r="H740" t="n">
        <v>0</v>
      </c>
      <c r="I740" t="n">
        <v>0</v>
      </c>
      <c r="J740" t="n">
        <v>0</v>
      </c>
      <c r="K740" t="n">
        <v>0</v>
      </c>
      <c r="L740" t="n">
        <v>0</v>
      </c>
      <c r="M740" t="n">
        <v>0</v>
      </c>
      <c r="N740" t="n">
        <v>0</v>
      </c>
      <c r="O740" t="n">
        <v>0</v>
      </c>
      <c r="P740" t="n">
        <v>0</v>
      </c>
      <c r="Q740" t="n">
        <v>0</v>
      </c>
      <c r="R740" s="2" t="inlineStr"/>
    </row>
    <row r="741" ht="15" customHeight="1">
      <c r="A741" t="inlineStr">
        <is>
          <t>A 11874-2025</t>
        </is>
      </c>
      <c r="B741" s="1" t="n">
        <v>45728.43699074074</v>
      </c>
      <c r="C741" s="1" t="n">
        <v>46051</v>
      </c>
      <c r="D741" t="inlineStr">
        <is>
          <t>VÄRMLANDS LÄN</t>
        </is>
      </c>
      <c r="E741" t="inlineStr">
        <is>
          <t>ÅRJÄNG</t>
        </is>
      </c>
      <c r="F741" t="inlineStr">
        <is>
          <t>Övriga Aktiebolag</t>
        </is>
      </c>
      <c r="G741" t="n">
        <v>3.5</v>
      </c>
      <c r="H741" t="n">
        <v>0</v>
      </c>
      <c r="I741" t="n">
        <v>0</v>
      </c>
      <c r="J741" t="n">
        <v>0</v>
      </c>
      <c r="K741" t="n">
        <v>0</v>
      </c>
      <c r="L741" t="n">
        <v>0</v>
      </c>
      <c r="M741" t="n">
        <v>0</v>
      </c>
      <c r="N741" t="n">
        <v>0</v>
      </c>
      <c r="O741" t="n">
        <v>0</v>
      </c>
      <c r="P741" t="n">
        <v>0</v>
      </c>
      <c r="Q741" t="n">
        <v>0</v>
      </c>
      <c r="R741" s="2" t="inlineStr"/>
    </row>
    <row r="742" ht="15" customHeight="1">
      <c r="A742" t="inlineStr">
        <is>
          <t>A 15949-2025</t>
        </is>
      </c>
      <c r="B742" s="1" t="n">
        <v>45749</v>
      </c>
      <c r="C742" s="1" t="n">
        <v>46051</v>
      </c>
      <c r="D742" t="inlineStr">
        <is>
          <t>VÄRMLANDS LÄN</t>
        </is>
      </c>
      <c r="E742" t="inlineStr">
        <is>
          <t>ÅRJÄNG</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53751-2025</t>
        </is>
      </c>
      <c r="B743" s="1" t="n">
        <v>45960.65855324074</v>
      </c>
      <c r="C743" s="1" t="n">
        <v>46051</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53752-2025</t>
        </is>
      </c>
      <c r="B744" s="1" t="n">
        <v>45960.66131944444</v>
      </c>
      <c r="C744" s="1" t="n">
        <v>46051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54155-2025</t>
        </is>
      </c>
      <c r="B745" s="1" t="n">
        <v>45964.49306712963</v>
      </c>
      <c r="C745" s="1" t="n">
        <v>46051</v>
      </c>
      <c r="D745" t="inlineStr">
        <is>
          <t>VÄRMLANDS LÄN</t>
        </is>
      </c>
      <c r="E745" t="inlineStr">
        <is>
          <t>ÅRJÄNG</t>
        </is>
      </c>
      <c r="G745" t="n">
        <v>7.2</v>
      </c>
      <c r="H745" t="n">
        <v>0</v>
      </c>
      <c r="I745" t="n">
        <v>0</v>
      </c>
      <c r="J745" t="n">
        <v>0</v>
      </c>
      <c r="K745" t="n">
        <v>0</v>
      </c>
      <c r="L745" t="n">
        <v>0</v>
      </c>
      <c r="M745" t="n">
        <v>0</v>
      </c>
      <c r="N745" t="n">
        <v>0</v>
      </c>
      <c r="O745" t="n">
        <v>0</v>
      </c>
      <c r="P745" t="n">
        <v>0</v>
      </c>
      <c r="Q745" t="n">
        <v>0</v>
      </c>
      <c r="R745" s="2" t="inlineStr"/>
    </row>
    <row r="746" ht="15" customHeight="1">
      <c r="A746" t="inlineStr">
        <is>
          <t>A 53929-2025</t>
        </is>
      </c>
      <c r="B746" s="1" t="n">
        <v>45961</v>
      </c>
      <c r="C746" s="1" t="n">
        <v>46051</v>
      </c>
      <c r="D746" t="inlineStr">
        <is>
          <t>VÄRMLANDS LÄN</t>
        </is>
      </c>
      <c r="E746" t="inlineStr">
        <is>
          <t>ÅRJÄNG</t>
        </is>
      </c>
      <c r="F746" t="inlineStr">
        <is>
          <t>Bergvik skog väst AB</t>
        </is>
      </c>
      <c r="G746" t="n">
        <v>34.3</v>
      </c>
      <c r="H746" t="n">
        <v>0</v>
      </c>
      <c r="I746" t="n">
        <v>0</v>
      </c>
      <c r="J746" t="n">
        <v>0</v>
      </c>
      <c r="K746" t="n">
        <v>0</v>
      </c>
      <c r="L746" t="n">
        <v>0</v>
      </c>
      <c r="M746" t="n">
        <v>0</v>
      </c>
      <c r="N746" t="n">
        <v>0</v>
      </c>
      <c r="O746" t="n">
        <v>0</v>
      </c>
      <c r="P746" t="n">
        <v>0</v>
      </c>
      <c r="Q746" t="n">
        <v>0</v>
      </c>
      <c r="R746" s="2" t="inlineStr"/>
    </row>
    <row r="747" ht="15" customHeight="1">
      <c r="A747" t="inlineStr">
        <is>
          <t>A 8246-2025</t>
        </is>
      </c>
      <c r="B747" s="1" t="n">
        <v>45708.48710648148</v>
      </c>
      <c r="C747" s="1" t="n">
        <v>46051</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35726-2022</t>
        </is>
      </c>
      <c r="B748" s="1" t="n">
        <v>44799</v>
      </c>
      <c r="C748" s="1" t="n">
        <v>46051</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54111-2025</t>
        </is>
      </c>
      <c r="B749" s="1" t="n">
        <v>45964.43324074074</v>
      </c>
      <c r="C749" s="1" t="n">
        <v>46051</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54129-2025</t>
        </is>
      </c>
      <c r="B750" s="1" t="n">
        <v>45964.46063657408</v>
      </c>
      <c r="C750" s="1" t="n">
        <v>46051</v>
      </c>
      <c r="D750" t="inlineStr">
        <is>
          <t>VÄRMLANDS LÄN</t>
        </is>
      </c>
      <c r="E750" t="inlineStr">
        <is>
          <t>ÅRJÄNG</t>
        </is>
      </c>
      <c r="G750" t="n">
        <v>3.1</v>
      </c>
      <c r="H750" t="n">
        <v>0</v>
      </c>
      <c r="I750" t="n">
        <v>0</v>
      </c>
      <c r="J750" t="n">
        <v>0</v>
      </c>
      <c r="K750" t="n">
        <v>0</v>
      </c>
      <c r="L750" t="n">
        <v>0</v>
      </c>
      <c r="M750" t="n">
        <v>0</v>
      </c>
      <c r="N750" t="n">
        <v>0</v>
      </c>
      <c r="O750" t="n">
        <v>0</v>
      </c>
      <c r="P750" t="n">
        <v>0</v>
      </c>
      <c r="Q750" t="n">
        <v>0</v>
      </c>
      <c r="R750" s="2" t="inlineStr"/>
    </row>
    <row r="751" ht="15" customHeight="1">
      <c r="A751" t="inlineStr">
        <is>
          <t>A 54159-2025</t>
        </is>
      </c>
      <c r="B751" s="1" t="n">
        <v>45964.50344907407</v>
      </c>
      <c r="C751" s="1" t="n">
        <v>46051</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60000-2024</t>
        </is>
      </c>
      <c r="B752" s="1" t="n">
        <v>45642</v>
      </c>
      <c r="C752" s="1" t="n">
        <v>46051</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19621-2025</t>
        </is>
      </c>
      <c r="B753" s="1" t="n">
        <v>45770</v>
      </c>
      <c r="C753" s="1" t="n">
        <v>46051</v>
      </c>
      <c r="D753" t="inlineStr">
        <is>
          <t>VÄRMLANDS LÄN</t>
        </is>
      </c>
      <c r="E753" t="inlineStr">
        <is>
          <t>ÅRJÄNG</t>
        </is>
      </c>
      <c r="F753" t="inlineStr">
        <is>
          <t>Övriga Aktiebolag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46473-2024</t>
        </is>
      </c>
      <c r="B754" s="1" t="n">
        <v>45582</v>
      </c>
      <c r="C754" s="1" t="n">
        <v>46051</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54430-2025</t>
        </is>
      </c>
      <c r="B755" s="1" t="n">
        <v>45965.49414351852</v>
      </c>
      <c r="C755" s="1" t="n">
        <v>46051</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61119-2024</t>
        </is>
      </c>
      <c r="B756" s="1" t="n">
        <v>45645.57</v>
      </c>
      <c r="C756" s="1" t="n">
        <v>46051</v>
      </c>
      <c r="D756" t="inlineStr">
        <is>
          <t>VÄRMLANDS LÄN</t>
        </is>
      </c>
      <c r="E756" t="inlineStr">
        <is>
          <t>ÅRJÄNG</t>
        </is>
      </c>
      <c r="G756" t="n">
        <v>2.4</v>
      </c>
      <c r="H756" t="n">
        <v>0</v>
      </c>
      <c r="I756" t="n">
        <v>0</v>
      </c>
      <c r="J756" t="n">
        <v>0</v>
      </c>
      <c r="K756" t="n">
        <v>0</v>
      </c>
      <c r="L756" t="n">
        <v>0</v>
      </c>
      <c r="M756" t="n">
        <v>0</v>
      </c>
      <c r="N756" t="n">
        <v>0</v>
      </c>
      <c r="O756" t="n">
        <v>0</v>
      </c>
      <c r="P756" t="n">
        <v>0</v>
      </c>
      <c r="Q756" t="n">
        <v>0</v>
      </c>
      <c r="R756" s="2" t="inlineStr"/>
    </row>
    <row r="757" ht="15" customHeight="1">
      <c r="A757" t="inlineStr">
        <is>
          <t>A 54418-2025</t>
        </is>
      </c>
      <c r="B757" s="1" t="n">
        <v>45965.48027777778</v>
      </c>
      <c r="C757" s="1" t="n">
        <v>46051</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54420-2025</t>
        </is>
      </c>
      <c r="B758" s="1" t="n">
        <v>45965.4834837963</v>
      </c>
      <c r="C758" s="1" t="n">
        <v>46051</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28382-2022</t>
        </is>
      </c>
      <c r="B759" s="1" t="n">
        <v>44747</v>
      </c>
      <c r="C759" s="1" t="n">
        <v>46051</v>
      </c>
      <c r="D759" t="inlineStr">
        <is>
          <t>VÄRMLANDS LÄN</t>
        </is>
      </c>
      <c r="E759" t="inlineStr">
        <is>
          <t>ÅRJÄNG</t>
        </is>
      </c>
      <c r="F759" t="inlineStr">
        <is>
          <t>Naturvårdsverket</t>
        </is>
      </c>
      <c r="G759" t="n">
        <v>1</v>
      </c>
      <c r="H759" t="n">
        <v>0</v>
      </c>
      <c r="I759" t="n">
        <v>0</v>
      </c>
      <c r="J759" t="n">
        <v>0</v>
      </c>
      <c r="K759" t="n">
        <v>0</v>
      </c>
      <c r="L759" t="n">
        <v>0</v>
      </c>
      <c r="M759" t="n">
        <v>0</v>
      </c>
      <c r="N759" t="n">
        <v>0</v>
      </c>
      <c r="O759" t="n">
        <v>0</v>
      </c>
      <c r="P759" t="n">
        <v>0</v>
      </c>
      <c r="Q759" t="n">
        <v>0</v>
      </c>
      <c r="R759" s="2" t="inlineStr"/>
    </row>
    <row r="760" ht="15" customHeight="1">
      <c r="A760" t="inlineStr">
        <is>
          <t>A 28439-2022</t>
        </is>
      </c>
      <c r="B760" s="1" t="n">
        <v>44747</v>
      </c>
      <c r="C760" s="1" t="n">
        <v>46051</v>
      </c>
      <c r="D760" t="inlineStr">
        <is>
          <t>VÄRMLANDS LÄN</t>
        </is>
      </c>
      <c r="E760" t="inlineStr">
        <is>
          <t>ÅRJÄNG</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9990-2025</t>
        </is>
      </c>
      <c r="B761" s="1" t="n">
        <v>45719</v>
      </c>
      <c r="C761" s="1" t="n">
        <v>46051</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54962-2025</t>
        </is>
      </c>
      <c r="B762" s="1" t="n">
        <v>45967.4825462963</v>
      </c>
      <c r="C762" s="1" t="n">
        <v>46051</v>
      </c>
      <c r="D762" t="inlineStr">
        <is>
          <t>VÄRMLANDS LÄN</t>
        </is>
      </c>
      <c r="E762" t="inlineStr">
        <is>
          <t>ÅRJÄNG</t>
        </is>
      </c>
      <c r="F762" t="inlineStr">
        <is>
          <t>Kyrkan</t>
        </is>
      </c>
      <c r="G762" t="n">
        <v>1.4</v>
      </c>
      <c r="H762" t="n">
        <v>0</v>
      </c>
      <c r="I762" t="n">
        <v>0</v>
      </c>
      <c r="J762" t="n">
        <v>0</v>
      </c>
      <c r="K762" t="n">
        <v>0</v>
      </c>
      <c r="L762" t="n">
        <v>0</v>
      </c>
      <c r="M762" t="n">
        <v>0</v>
      </c>
      <c r="N762" t="n">
        <v>0</v>
      </c>
      <c r="O762" t="n">
        <v>0</v>
      </c>
      <c r="P762" t="n">
        <v>0</v>
      </c>
      <c r="Q762" t="n">
        <v>0</v>
      </c>
      <c r="R762" s="2" t="inlineStr"/>
    </row>
    <row r="763" ht="15" customHeight="1">
      <c r="A763" t="inlineStr">
        <is>
          <t>A 9992-2025</t>
        </is>
      </c>
      <c r="B763" s="1" t="n">
        <v>45719.43708333333</v>
      </c>
      <c r="C763" s="1" t="n">
        <v>46051</v>
      </c>
      <c r="D763" t="inlineStr">
        <is>
          <t>VÄRMLANDS LÄN</t>
        </is>
      </c>
      <c r="E763" t="inlineStr">
        <is>
          <t>ÅRJÄNG</t>
        </is>
      </c>
      <c r="G763" t="n">
        <v>1.5</v>
      </c>
      <c r="H763" t="n">
        <v>0</v>
      </c>
      <c r="I763" t="n">
        <v>0</v>
      </c>
      <c r="J763" t="n">
        <v>0</v>
      </c>
      <c r="K763" t="n">
        <v>0</v>
      </c>
      <c r="L763" t="n">
        <v>0</v>
      </c>
      <c r="M763" t="n">
        <v>0</v>
      </c>
      <c r="N763" t="n">
        <v>0</v>
      </c>
      <c r="O763" t="n">
        <v>0</v>
      </c>
      <c r="P763" t="n">
        <v>0</v>
      </c>
      <c r="Q763" t="n">
        <v>0</v>
      </c>
      <c r="R763" s="2" t="inlineStr"/>
    </row>
    <row r="764" ht="15" customHeight="1">
      <c r="A764" t="inlineStr">
        <is>
          <t>A 54990-2025</t>
        </is>
      </c>
      <c r="B764" s="1" t="n">
        <v>45967.57292824074</v>
      </c>
      <c r="C764" s="1" t="n">
        <v>46051</v>
      </c>
      <c r="D764" t="inlineStr">
        <is>
          <t>VÄRMLANDS LÄN</t>
        </is>
      </c>
      <c r="E764" t="inlineStr">
        <is>
          <t>ÅRJÄNG</t>
        </is>
      </c>
      <c r="G764" t="n">
        <v>2.9</v>
      </c>
      <c r="H764" t="n">
        <v>0</v>
      </c>
      <c r="I764" t="n">
        <v>0</v>
      </c>
      <c r="J764" t="n">
        <v>0</v>
      </c>
      <c r="K764" t="n">
        <v>0</v>
      </c>
      <c r="L764" t="n">
        <v>0</v>
      </c>
      <c r="M764" t="n">
        <v>0</v>
      </c>
      <c r="N764" t="n">
        <v>0</v>
      </c>
      <c r="O764" t="n">
        <v>0</v>
      </c>
      <c r="P764" t="n">
        <v>0</v>
      </c>
      <c r="Q764" t="n">
        <v>0</v>
      </c>
      <c r="R764" s="2" t="inlineStr"/>
    </row>
    <row r="765" ht="15" customHeight="1">
      <c r="A765" t="inlineStr">
        <is>
          <t>A 34803-2021</t>
        </is>
      </c>
      <c r="B765" s="1" t="n">
        <v>44383</v>
      </c>
      <c r="C765" s="1" t="n">
        <v>46051</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58427-2024</t>
        </is>
      </c>
      <c r="B766" s="1" t="n">
        <v>45634.89083333333</v>
      </c>
      <c r="C766" s="1" t="n">
        <v>46051</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58428-2024</t>
        </is>
      </c>
      <c r="B767" s="1" t="n">
        <v>45634.90734953704</v>
      </c>
      <c r="C767" s="1" t="n">
        <v>46051</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17178-2021</t>
        </is>
      </c>
      <c r="B768" s="1" t="n">
        <v>44298.46592592593</v>
      </c>
      <c r="C768" s="1" t="n">
        <v>46051</v>
      </c>
      <c r="D768" t="inlineStr">
        <is>
          <t>VÄRMLANDS LÄN</t>
        </is>
      </c>
      <c r="E768" t="inlineStr">
        <is>
          <t>ÅRJÄNG</t>
        </is>
      </c>
      <c r="G768" t="n">
        <v>4</v>
      </c>
      <c r="H768" t="n">
        <v>0</v>
      </c>
      <c r="I768" t="n">
        <v>0</v>
      </c>
      <c r="J768" t="n">
        <v>0</v>
      </c>
      <c r="K768" t="n">
        <v>0</v>
      </c>
      <c r="L768" t="n">
        <v>0</v>
      </c>
      <c r="M768" t="n">
        <v>0</v>
      </c>
      <c r="N768" t="n">
        <v>0</v>
      </c>
      <c r="O768" t="n">
        <v>0</v>
      </c>
      <c r="P768" t="n">
        <v>0</v>
      </c>
      <c r="Q768" t="n">
        <v>0</v>
      </c>
      <c r="R768" s="2" t="inlineStr"/>
    </row>
    <row r="769" ht="15" customHeight="1">
      <c r="A769" t="inlineStr">
        <is>
          <t>A 55017-2025</t>
        </is>
      </c>
      <c r="B769" s="1" t="n">
        <v>45967.61709490741</v>
      </c>
      <c r="C769" s="1" t="n">
        <v>46051</v>
      </c>
      <c r="D769" t="inlineStr">
        <is>
          <t>VÄRMLANDS LÄN</t>
        </is>
      </c>
      <c r="E769" t="inlineStr">
        <is>
          <t>ÅRJÄNG</t>
        </is>
      </c>
      <c r="G769" t="n">
        <v>10.2</v>
      </c>
      <c r="H769" t="n">
        <v>0</v>
      </c>
      <c r="I769" t="n">
        <v>0</v>
      </c>
      <c r="J769" t="n">
        <v>0</v>
      </c>
      <c r="K769" t="n">
        <v>0</v>
      </c>
      <c r="L769" t="n">
        <v>0</v>
      </c>
      <c r="M769" t="n">
        <v>0</v>
      </c>
      <c r="N769" t="n">
        <v>0</v>
      </c>
      <c r="O769" t="n">
        <v>0</v>
      </c>
      <c r="P769" t="n">
        <v>0</v>
      </c>
      <c r="Q769" t="n">
        <v>0</v>
      </c>
      <c r="R769" s="2" t="inlineStr"/>
    </row>
    <row r="770" ht="15" customHeight="1">
      <c r="A770" t="inlineStr">
        <is>
          <t>A 10180-2023</t>
        </is>
      </c>
      <c r="B770" s="1" t="n">
        <v>44986</v>
      </c>
      <c r="C770" s="1" t="n">
        <v>46051</v>
      </c>
      <c r="D770" t="inlineStr">
        <is>
          <t>VÄRMLANDS LÄN</t>
        </is>
      </c>
      <c r="E770" t="inlineStr">
        <is>
          <t>ÅRJÄNG</t>
        </is>
      </c>
      <c r="G770" t="n">
        <v>4.6</v>
      </c>
      <c r="H770" t="n">
        <v>0</v>
      </c>
      <c r="I770" t="n">
        <v>0</v>
      </c>
      <c r="J770" t="n">
        <v>0</v>
      </c>
      <c r="K770" t="n">
        <v>0</v>
      </c>
      <c r="L770" t="n">
        <v>0</v>
      </c>
      <c r="M770" t="n">
        <v>0</v>
      </c>
      <c r="N770" t="n">
        <v>0</v>
      </c>
      <c r="O770" t="n">
        <v>0</v>
      </c>
      <c r="P770" t="n">
        <v>0</v>
      </c>
      <c r="Q770" t="n">
        <v>0</v>
      </c>
      <c r="R770" s="2" t="inlineStr"/>
    </row>
    <row r="771" ht="15" customHeight="1">
      <c r="A771" t="inlineStr">
        <is>
          <t>A 69862-2021</t>
        </is>
      </c>
      <c r="B771" s="1" t="n">
        <v>44532</v>
      </c>
      <c r="C771" s="1" t="n">
        <v>46051</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29558-2024</t>
        </is>
      </c>
      <c r="B772" s="1" t="n">
        <v>45484</v>
      </c>
      <c r="C772" s="1" t="n">
        <v>46051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23754-2024</t>
        </is>
      </c>
      <c r="B773" s="1" t="n">
        <v>45455</v>
      </c>
      <c r="C773" s="1" t="n">
        <v>46051</v>
      </c>
      <c r="D773" t="inlineStr">
        <is>
          <t>VÄRMLANDS LÄN</t>
        </is>
      </c>
      <c r="E773" t="inlineStr">
        <is>
          <t>ÅRJÄNG</t>
        </is>
      </c>
      <c r="G773" t="n">
        <v>0.9</v>
      </c>
      <c r="H773" t="n">
        <v>0</v>
      </c>
      <c r="I773" t="n">
        <v>0</v>
      </c>
      <c r="J773" t="n">
        <v>0</v>
      </c>
      <c r="K773" t="n">
        <v>0</v>
      </c>
      <c r="L773" t="n">
        <v>0</v>
      </c>
      <c r="M773" t="n">
        <v>0</v>
      </c>
      <c r="N773" t="n">
        <v>0</v>
      </c>
      <c r="O773" t="n">
        <v>0</v>
      </c>
      <c r="P773" t="n">
        <v>0</v>
      </c>
      <c r="Q773" t="n">
        <v>0</v>
      </c>
      <c r="R773" s="2" t="inlineStr"/>
    </row>
    <row r="774" ht="15" customHeight="1">
      <c r="A774" t="inlineStr">
        <is>
          <t>A 99-2025</t>
        </is>
      </c>
      <c r="B774" s="1" t="n">
        <v>45649</v>
      </c>
      <c r="C774" s="1" t="n">
        <v>46051</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55540-2025</t>
        </is>
      </c>
      <c r="B775" s="1" t="n">
        <v>45971.63444444445</v>
      </c>
      <c r="C775" s="1" t="n">
        <v>46051</v>
      </c>
      <c r="D775" t="inlineStr">
        <is>
          <t>VÄRMLANDS LÄN</t>
        </is>
      </c>
      <c r="E775" t="inlineStr">
        <is>
          <t>ÅRJÄNG</t>
        </is>
      </c>
      <c r="G775" t="n">
        <v>4.7</v>
      </c>
      <c r="H775" t="n">
        <v>0</v>
      </c>
      <c r="I775" t="n">
        <v>0</v>
      </c>
      <c r="J775" t="n">
        <v>0</v>
      </c>
      <c r="K775" t="n">
        <v>0</v>
      </c>
      <c r="L775" t="n">
        <v>0</v>
      </c>
      <c r="M775" t="n">
        <v>0</v>
      </c>
      <c r="N775" t="n">
        <v>0</v>
      </c>
      <c r="O775" t="n">
        <v>0</v>
      </c>
      <c r="P775" t="n">
        <v>0</v>
      </c>
      <c r="Q775" t="n">
        <v>0</v>
      </c>
      <c r="R775" s="2" t="inlineStr"/>
    </row>
    <row r="776" ht="15" customHeight="1">
      <c r="A776" t="inlineStr">
        <is>
          <t>A 55285-2025</t>
        </is>
      </c>
      <c r="B776" s="1" t="n">
        <v>45968.84447916667</v>
      </c>
      <c r="C776" s="1" t="n">
        <v>46051</v>
      </c>
      <c r="D776" t="inlineStr">
        <is>
          <t>VÄRMLANDS LÄN</t>
        </is>
      </c>
      <c r="E776" t="inlineStr">
        <is>
          <t>ÅRJÄNG</t>
        </is>
      </c>
      <c r="G776" t="n">
        <v>2</v>
      </c>
      <c r="H776" t="n">
        <v>0</v>
      </c>
      <c r="I776" t="n">
        <v>0</v>
      </c>
      <c r="J776" t="n">
        <v>0</v>
      </c>
      <c r="K776" t="n">
        <v>0</v>
      </c>
      <c r="L776" t="n">
        <v>0</v>
      </c>
      <c r="M776" t="n">
        <v>0</v>
      </c>
      <c r="N776" t="n">
        <v>0</v>
      </c>
      <c r="O776" t="n">
        <v>0</v>
      </c>
      <c r="P776" t="n">
        <v>0</v>
      </c>
      <c r="Q776" t="n">
        <v>0</v>
      </c>
      <c r="R776" s="2" t="inlineStr"/>
    </row>
    <row r="777" ht="15" customHeight="1">
      <c r="A777" t="inlineStr">
        <is>
          <t>A 40465-2023</t>
        </is>
      </c>
      <c r="B777" s="1" t="n">
        <v>45170.34325231481</v>
      </c>
      <c r="C777" s="1" t="n">
        <v>46051</v>
      </c>
      <c r="D777" t="inlineStr">
        <is>
          <t>VÄRMLANDS LÄN</t>
        </is>
      </c>
      <c r="E777" t="inlineStr">
        <is>
          <t>ÅRJÄNG</t>
        </is>
      </c>
      <c r="G777" t="n">
        <v>1.7</v>
      </c>
      <c r="H777" t="n">
        <v>0</v>
      </c>
      <c r="I777" t="n">
        <v>0</v>
      </c>
      <c r="J777" t="n">
        <v>0</v>
      </c>
      <c r="K777" t="n">
        <v>0</v>
      </c>
      <c r="L777" t="n">
        <v>0</v>
      </c>
      <c r="M777" t="n">
        <v>0</v>
      </c>
      <c r="N777" t="n">
        <v>0</v>
      </c>
      <c r="O777" t="n">
        <v>0</v>
      </c>
      <c r="P777" t="n">
        <v>0</v>
      </c>
      <c r="Q777" t="n">
        <v>0</v>
      </c>
      <c r="R777" s="2" t="inlineStr"/>
    </row>
    <row r="778" ht="15" customHeight="1">
      <c r="A778" t="inlineStr">
        <is>
          <t>A 55592-2025</t>
        </is>
      </c>
      <c r="B778" s="1" t="n">
        <v>45971</v>
      </c>
      <c r="C778" s="1" t="n">
        <v>46051</v>
      </c>
      <c r="D778" t="inlineStr">
        <is>
          <t>VÄRMLANDS LÄN</t>
        </is>
      </c>
      <c r="E778" t="inlineStr">
        <is>
          <t>ÅRJÄNG</t>
        </is>
      </c>
      <c r="G778" t="n">
        <v>2.4</v>
      </c>
      <c r="H778" t="n">
        <v>0</v>
      </c>
      <c r="I778" t="n">
        <v>0</v>
      </c>
      <c r="J778" t="n">
        <v>0</v>
      </c>
      <c r="K778" t="n">
        <v>0</v>
      </c>
      <c r="L778" t="n">
        <v>0</v>
      </c>
      <c r="M778" t="n">
        <v>0</v>
      </c>
      <c r="N778" t="n">
        <v>0</v>
      </c>
      <c r="O778" t="n">
        <v>0</v>
      </c>
      <c r="P778" t="n">
        <v>0</v>
      </c>
      <c r="Q778" t="n">
        <v>0</v>
      </c>
      <c r="R778" s="2" t="inlineStr"/>
    </row>
    <row r="779" ht="15" customHeight="1">
      <c r="A779" t="inlineStr">
        <is>
          <t>A 40366-2022</t>
        </is>
      </c>
      <c r="B779" s="1" t="n">
        <v>44823.38884259259</v>
      </c>
      <c r="C779" s="1" t="n">
        <v>46051</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55662-2025</t>
        </is>
      </c>
      <c r="B780" s="1" t="n">
        <v>45972.39572916667</v>
      </c>
      <c r="C780" s="1" t="n">
        <v>46051</v>
      </c>
      <c r="D780" t="inlineStr">
        <is>
          <t>VÄRMLANDS LÄN</t>
        </is>
      </c>
      <c r="E780" t="inlineStr">
        <is>
          <t>ÅRJÄNG</t>
        </is>
      </c>
      <c r="G780" t="n">
        <v>1</v>
      </c>
      <c r="H780" t="n">
        <v>0</v>
      </c>
      <c r="I780" t="n">
        <v>0</v>
      </c>
      <c r="J780" t="n">
        <v>0</v>
      </c>
      <c r="K780" t="n">
        <v>0</v>
      </c>
      <c r="L780" t="n">
        <v>0</v>
      </c>
      <c r="M780" t="n">
        <v>0</v>
      </c>
      <c r="N780" t="n">
        <v>0</v>
      </c>
      <c r="O780" t="n">
        <v>0</v>
      </c>
      <c r="P780" t="n">
        <v>0</v>
      </c>
      <c r="Q780" t="n">
        <v>0</v>
      </c>
      <c r="R780" s="2" t="inlineStr"/>
    </row>
    <row r="781" ht="15" customHeight="1">
      <c r="A781" t="inlineStr">
        <is>
          <t>A 55277-2025</t>
        </is>
      </c>
      <c r="B781" s="1" t="n">
        <v>45968.77537037037</v>
      </c>
      <c r="C781" s="1" t="n">
        <v>46051</v>
      </c>
      <c r="D781" t="inlineStr">
        <is>
          <t>VÄRMLANDS LÄN</t>
        </is>
      </c>
      <c r="E781" t="inlineStr">
        <is>
          <t>ÅRJÄNG</t>
        </is>
      </c>
      <c r="G781" t="n">
        <v>3.8</v>
      </c>
      <c r="H781" t="n">
        <v>0</v>
      </c>
      <c r="I781" t="n">
        <v>0</v>
      </c>
      <c r="J781" t="n">
        <v>0</v>
      </c>
      <c r="K781" t="n">
        <v>0</v>
      </c>
      <c r="L781" t="n">
        <v>0</v>
      </c>
      <c r="M781" t="n">
        <v>0</v>
      </c>
      <c r="N781" t="n">
        <v>0</v>
      </c>
      <c r="O781" t="n">
        <v>0</v>
      </c>
      <c r="P781" t="n">
        <v>0</v>
      </c>
      <c r="Q781" t="n">
        <v>0</v>
      </c>
      <c r="R781" s="2" t="inlineStr"/>
    </row>
    <row r="782" ht="15" customHeight="1">
      <c r="A782" t="inlineStr">
        <is>
          <t>A 55534-2025</t>
        </is>
      </c>
      <c r="B782" s="1" t="n">
        <v>45971.63193287037</v>
      </c>
      <c r="C782" s="1" t="n">
        <v>46051</v>
      </c>
      <c r="D782" t="inlineStr">
        <is>
          <t>VÄRMLANDS LÄN</t>
        </is>
      </c>
      <c r="E782" t="inlineStr">
        <is>
          <t>ÅRJÄNG</t>
        </is>
      </c>
      <c r="G782" t="n">
        <v>4.7</v>
      </c>
      <c r="H782" t="n">
        <v>0</v>
      </c>
      <c r="I782" t="n">
        <v>0</v>
      </c>
      <c r="J782" t="n">
        <v>0</v>
      </c>
      <c r="K782" t="n">
        <v>0</v>
      </c>
      <c r="L782" t="n">
        <v>0</v>
      </c>
      <c r="M782" t="n">
        <v>0</v>
      </c>
      <c r="N782" t="n">
        <v>0</v>
      </c>
      <c r="O782" t="n">
        <v>0</v>
      </c>
      <c r="P782" t="n">
        <v>0</v>
      </c>
      <c r="Q782" t="n">
        <v>0</v>
      </c>
      <c r="R782" s="2" t="inlineStr"/>
    </row>
    <row r="783" ht="15" customHeight="1">
      <c r="A783" t="inlineStr">
        <is>
          <t>A 55276-2025</t>
        </is>
      </c>
      <c r="B783" s="1" t="n">
        <v>45968.76534722222</v>
      </c>
      <c r="C783" s="1" t="n">
        <v>46051</v>
      </c>
      <c r="D783" t="inlineStr">
        <is>
          <t>VÄRMLANDS LÄN</t>
        </is>
      </c>
      <c r="E783" t="inlineStr">
        <is>
          <t>ÅRJÄNG</t>
        </is>
      </c>
      <c r="G783" t="n">
        <v>2.8</v>
      </c>
      <c r="H783" t="n">
        <v>0</v>
      </c>
      <c r="I783" t="n">
        <v>0</v>
      </c>
      <c r="J783" t="n">
        <v>0</v>
      </c>
      <c r="K783" t="n">
        <v>0</v>
      </c>
      <c r="L783" t="n">
        <v>0</v>
      </c>
      <c r="M783" t="n">
        <v>0</v>
      </c>
      <c r="N783" t="n">
        <v>0</v>
      </c>
      <c r="O783" t="n">
        <v>0</v>
      </c>
      <c r="P783" t="n">
        <v>0</v>
      </c>
      <c r="Q783" t="n">
        <v>0</v>
      </c>
      <c r="R783" s="2" t="inlineStr"/>
    </row>
    <row r="784" ht="15" customHeight="1">
      <c r="A784" t="inlineStr">
        <is>
          <t>A 1279-2025</t>
        </is>
      </c>
      <c r="B784" s="1" t="n">
        <v>45667.48987268518</v>
      </c>
      <c r="C784" s="1" t="n">
        <v>46051</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56096-2025</t>
        </is>
      </c>
      <c r="B785" s="1" t="n">
        <v>45973.68275462963</v>
      </c>
      <c r="C785" s="1" t="n">
        <v>46051</v>
      </c>
      <c r="D785" t="inlineStr">
        <is>
          <t>VÄRMLANDS LÄN</t>
        </is>
      </c>
      <c r="E785" t="inlineStr">
        <is>
          <t>ÅRJÄNG</t>
        </is>
      </c>
      <c r="F785" t="inlineStr">
        <is>
          <t>Kyrkan</t>
        </is>
      </c>
      <c r="G785" t="n">
        <v>10.5</v>
      </c>
      <c r="H785" t="n">
        <v>0</v>
      </c>
      <c r="I785" t="n">
        <v>0</v>
      </c>
      <c r="J785" t="n">
        <v>0</v>
      </c>
      <c r="K785" t="n">
        <v>0</v>
      </c>
      <c r="L785" t="n">
        <v>0</v>
      </c>
      <c r="M785" t="n">
        <v>0</v>
      </c>
      <c r="N785" t="n">
        <v>0</v>
      </c>
      <c r="O785" t="n">
        <v>0</v>
      </c>
      <c r="P785" t="n">
        <v>0</v>
      </c>
      <c r="Q785" t="n">
        <v>0</v>
      </c>
      <c r="R785" s="2" t="inlineStr"/>
    </row>
    <row r="786" ht="15" customHeight="1">
      <c r="A786" t="inlineStr">
        <is>
          <t>A 10873-2023</t>
        </is>
      </c>
      <c r="B786" s="1" t="n">
        <v>44991.42243055555</v>
      </c>
      <c r="C786" s="1" t="n">
        <v>46051</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56027-2025</t>
        </is>
      </c>
      <c r="B787" s="1" t="n">
        <v>45973.59994212963</v>
      </c>
      <c r="C787" s="1" t="n">
        <v>46051</v>
      </c>
      <c r="D787" t="inlineStr">
        <is>
          <t>VÄRMLANDS LÄN</t>
        </is>
      </c>
      <c r="E787" t="inlineStr">
        <is>
          <t>ÅRJÄNG</t>
        </is>
      </c>
      <c r="G787" t="n">
        <v>2.7</v>
      </c>
      <c r="H787" t="n">
        <v>0</v>
      </c>
      <c r="I787" t="n">
        <v>0</v>
      </c>
      <c r="J787" t="n">
        <v>0</v>
      </c>
      <c r="K787" t="n">
        <v>0</v>
      </c>
      <c r="L787" t="n">
        <v>0</v>
      </c>
      <c r="M787" t="n">
        <v>0</v>
      </c>
      <c r="N787" t="n">
        <v>0</v>
      </c>
      <c r="O787" t="n">
        <v>0</v>
      </c>
      <c r="P787" t="n">
        <v>0</v>
      </c>
      <c r="Q787" t="n">
        <v>0</v>
      </c>
      <c r="R787" s="2" t="inlineStr"/>
    </row>
    <row r="788" ht="15" customHeight="1">
      <c r="A788" t="inlineStr">
        <is>
          <t>A 30699-2021</t>
        </is>
      </c>
      <c r="B788" s="1" t="n">
        <v>44365.42443287037</v>
      </c>
      <c r="C788" s="1" t="n">
        <v>46051</v>
      </c>
      <c r="D788" t="inlineStr">
        <is>
          <t>VÄRMLANDS LÄN</t>
        </is>
      </c>
      <c r="E788" t="inlineStr">
        <is>
          <t>ÅRJÄNG</t>
        </is>
      </c>
      <c r="G788" t="n">
        <v>3.1</v>
      </c>
      <c r="H788" t="n">
        <v>0</v>
      </c>
      <c r="I788" t="n">
        <v>0</v>
      </c>
      <c r="J788" t="n">
        <v>0</v>
      </c>
      <c r="K788" t="n">
        <v>0</v>
      </c>
      <c r="L788" t="n">
        <v>0</v>
      </c>
      <c r="M788" t="n">
        <v>0</v>
      </c>
      <c r="N788" t="n">
        <v>0</v>
      </c>
      <c r="O788" t="n">
        <v>0</v>
      </c>
      <c r="P788" t="n">
        <v>0</v>
      </c>
      <c r="Q788" t="n">
        <v>0</v>
      </c>
      <c r="R788" s="2" t="inlineStr"/>
    </row>
    <row r="789" ht="15" customHeight="1">
      <c r="A789" t="inlineStr">
        <is>
          <t>A 35157-2021</t>
        </is>
      </c>
      <c r="B789" s="1" t="n">
        <v>44383</v>
      </c>
      <c r="C789" s="1" t="n">
        <v>46051</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21706-2024</t>
        </is>
      </c>
      <c r="B790" s="1" t="n">
        <v>45442</v>
      </c>
      <c r="C790" s="1" t="n">
        <v>46051</v>
      </c>
      <c r="D790" t="inlineStr">
        <is>
          <t>VÄRMLANDS LÄN</t>
        </is>
      </c>
      <c r="E790" t="inlineStr">
        <is>
          <t>ÅRJÄNG</t>
        </is>
      </c>
      <c r="G790" t="n">
        <v>10.4</v>
      </c>
      <c r="H790" t="n">
        <v>0</v>
      </c>
      <c r="I790" t="n">
        <v>0</v>
      </c>
      <c r="J790" t="n">
        <v>0</v>
      </c>
      <c r="K790" t="n">
        <v>0</v>
      </c>
      <c r="L790" t="n">
        <v>0</v>
      </c>
      <c r="M790" t="n">
        <v>0</v>
      </c>
      <c r="N790" t="n">
        <v>0</v>
      </c>
      <c r="O790" t="n">
        <v>0</v>
      </c>
      <c r="P790" t="n">
        <v>0</v>
      </c>
      <c r="Q790" t="n">
        <v>0</v>
      </c>
      <c r="R790" s="2" t="inlineStr"/>
    </row>
    <row r="791" ht="15" customHeight="1">
      <c r="A791" t="inlineStr">
        <is>
          <t>A 43040-2023</t>
        </is>
      </c>
      <c r="B791" s="1" t="n">
        <v>45182.68716435185</v>
      </c>
      <c r="C791" s="1" t="n">
        <v>46051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8232-2025</t>
        </is>
      </c>
      <c r="B792" s="1" t="n">
        <v>45708.47144675926</v>
      </c>
      <c r="C792" s="1" t="n">
        <v>46051</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10510-2023</t>
        </is>
      </c>
      <c r="B793" s="1" t="n">
        <v>44987.73665509259</v>
      </c>
      <c r="C793" s="1" t="n">
        <v>46051</v>
      </c>
      <c r="D793" t="inlineStr">
        <is>
          <t>VÄRMLANDS LÄN</t>
        </is>
      </c>
      <c r="E793" t="inlineStr">
        <is>
          <t>ÅRJÄNG</t>
        </is>
      </c>
      <c r="G793" t="n">
        <v>0.5</v>
      </c>
      <c r="H793" t="n">
        <v>0</v>
      </c>
      <c r="I793" t="n">
        <v>0</v>
      </c>
      <c r="J793" t="n">
        <v>0</v>
      </c>
      <c r="K793" t="n">
        <v>0</v>
      </c>
      <c r="L793" t="n">
        <v>0</v>
      </c>
      <c r="M793" t="n">
        <v>0</v>
      </c>
      <c r="N793" t="n">
        <v>0</v>
      </c>
      <c r="O793" t="n">
        <v>0</v>
      </c>
      <c r="P793" t="n">
        <v>0</v>
      </c>
      <c r="Q793" t="n">
        <v>0</v>
      </c>
      <c r="R793" s="2" t="inlineStr"/>
    </row>
    <row r="794" ht="15" customHeight="1">
      <c r="A794" t="inlineStr">
        <is>
          <t>A 3458-2025</t>
        </is>
      </c>
      <c r="B794" s="1" t="n">
        <v>45680.48917824074</v>
      </c>
      <c r="C794" s="1" t="n">
        <v>46051</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3479-2025</t>
        </is>
      </c>
      <c r="B795" s="1" t="n">
        <v>45680.53805555555</v>
      </c>
      <c r="C795" s="1" t="n">
        <v>46051</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10574-2023</t>
        </is>
      </c>
      <c r="B796" s="1" t="n">
        <v>44984</v>
      </c>
      <c r="C796" s="1" t="n">
        <v>46051</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62901-2021</t>
        </is>
      </c>
      <c r="B797" s="1" t="n">
        <v>44504</v>
      </c>
      <c r="C797" s="1" t="n">
        <v>46051</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15730-2023</t>
        </is>
      </c>
      <c r="B798" s="1" t="n">
        <v>45021</v>
      </c>
      <c r="C798" s="1" t="n">
        <v>46051</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63844-2025</t>
        </is>
      </c>
      <c r="B799" s="1" t="n">
        <v>46020.43506944444</v>
      </c>
      <c r="C799" s="1" t="n">
        <v>46051</v>
      </c>
      <c r="D799" t="inlineStr">
        <is>
          <t>VÄRMLANDS LÄN</t>
        </is>
      </c>
      <c r="E799" t="inlineStr">
        <is>
          <t>ÅRJÄNG</t>
        </is>
      </c>
      <c r="G799" t="n">
        <v>3.2</v>
      </c>
      <c r="H799" t="n">
        <v>0</v>
      </c>
      <c r="I799" t="n">
        <v>0</v>
      </c>
      <c r="J799" t="n">
        <v>0</v>
      </c>
      <c r="K799" t="n">
        <v>0</v>
      </c>
      <c r="L799" t="n">
        <v>0</v>
      </c>
      <c r="M799" t="n">
        <v>0</v>
      </c>
      <c r="N799" t="n">
        <v>0</v>
      </c>
      <c r="O799" t="n">
        <v>0</v>
      </c>
      <c r="P799" t="n">
        <v>0</v>
      </c>
      <c r="Q799" t="n">
        <v>0</v>
      </c>
      <c r="R799" s="2" t="inlineStr"/>
    </row>
    <row r="800" ht="15" customHeight="1">
      <c r="A800" t="inlineStr">
        <is>
          <t>A 33831-2023</t>
        </is>
      </c>
      <c r="B800" s="1" t="n">
        <v>45121</v>
      </c>
      <c r="C800" s="1" t="n">
        <v>46051</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63858-2025</t>
        </is>
      </c>
      <c r="B801" s="1" t="n">
        <v>46020.48446759259</v>
      </c>
      <c r="C801" s="1" t="n">
        <v>46051</v>
      </c>
      <c r="D801" t="inlineStr">
        <is>
          <t>VÄRMLANDS LÄN</t>
        </is>
      </c>
      <c r="E801" t="inlineStr">
        <is>
          <t>ÅRJÄNG</t>
        </is>
      </c>
      <c r="G801" t="n">
        <v>1.8</v>
      </c>
      <c r="H801" t="n">
        <v>0</v>
      </c>
      <c r="I801" t="n">
        <v>0</v>
      </c>
      <c r="J801" t="n">
        <v>0</v>
      </c>
      <c r="K801" t="n">
        <v>0</v>
      </c>
      <c r="L801" t="n">
        <v>0</v>
      </c>
      <c r="M801" t="n">
        <v>0</v>
      </c>
      <c r="N801" t="n">
        <v>0</v>
      </c>
      <c r="O801" t="n">
        <v>0</v>
      </c>
      <c r="P801" t="n">
        <v>0</v>
      </c>
      <c r="Q801" t="n">
        <v>0</v>
      </c>
      <c r="R801" s="2" t="inlineStr"/>
    </row>
    <row r="802" ht="15" customHeight="1">
      <c r="A802" t="inlineStr">
        <is>
          <t>A 56629-2025</t>
        </is>
      </c>
      <c r="B802" s="1" t="n">
        <v>45975</v>
      </c>
      <c r="C802" s="1" t="n">
        <v>46051</v>
      </c>
      <c r="D802" t="inlineStr">
        <is>
          <t>VÄRMLANDS LÄN</t>
        </is>
      </c>
      <c r="E802" t="inlineStr">
        <is>
          <t>ÅRJÄNG</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59070-2024</t>
        </is>
      </c>
      <c r="B803" s="1" t="n">
        <v>45636.95711805556</v>
      </c>
      <c r="C803" s="1" t="n">
        <v>46051</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29603-2024</t>
        </is>
      </c>
      <c r="B804" s="1" t="n">
        <v>45484</v>
      </c>
      <c r="C804" s="1" t="n">
        <v>46051</v>
      </c>
      <c r="D804" t="inlineStr">
        <is>
          <t>VÄRMLANDS LÄN</t>
        </is>
      </c>
      <c r="E804" t="inlineStr">
        <is>
          <t>ÅRJÄNG</t>
        </is>
      </c>
      <c r="G804" t="n">
        <v>7.5</v>
      </c>
      <c r="H804" t="n">
        <v>0</v>
      </c>
      <c r="I804" t="n">
        <v>0</v>
      </c>
      <c r="J804" t="n">
        <v>0</v>
      </c>
      <c r="K804" t="n">
        <v>0</v>
      </c>
      <c r="L804" t="n">
        <v>0</v>
      </c>
      <c r="M804" t="n">
        <v>0</v>
      </c>
      <c r="N804" t="n">
        <v>0</v>
      </c>
      <c r="O804" t="n">
        <v>0</v>
      </c>
      <c r="P804" t="n">
        <v>0</v>
      </c>
      <c r="Q804" t="n">
        <v>0</v>
      </c>
      <c r="R804" s="2" t="inlineStr"/>
    </row>
    <row r="805" ht="15" customHeight="1">
      <c r="A805" t="inlineStr">
        <is>
          <t>A 63837-2025</t>
        </is>
      </c>
      <c r="B805" s="1" t="n">
        <v>46020.41344907408</v>
      </c>
      <c r="C805" s="1" t="n">
        <v>46051</v>
      </c>
      <c r="D805" t="inlineStr">
        <is>
          <t>VÄRMLANDS LÄN</t>
        </is>
      </c>
      <c r="E805" t="inlineStr">
        <is>
          <t>ÅRJÄNG</t>
        </is>
      </c>
      <c r="G805" t="n">
        <v>5.6</v>
      </c>
      <c r="H805" t="n">
        <v>0</v>
      </c>
      <c r="I805" t="n">
        <v>0</v>
      </c>
      <c r="J805" t="n">
        <v>0</v>
      </c>
      <c r="K805" t="n">
        <v>0</v>
      </c>
      <c r="L805" t="n">
        <v>0</v>
      </c>
      <c r="M805" t="n">
        <v>0</v>
      </c>
      <c r="N805" t="n">
        <v>0</v>
      </c>
      <c r="O805" t="n">
        <v>0</v>
      </c>
      <c r="P805" t="n">
        <v>0</v>
      </c>
      <c r="Q805" t="n">
        <v>0</v>
      </c>
      <c r="R805" s="2" t="inlineStr"/>
    </row>
    <row r="806" ht="15" customHeight="1">
      <c r="A806" t="inlineStr">
        <is>
          <t>A 15546-2025</t>
        </is>
      </c>
      <c r="B806" s="1" t="n">
        <v>45747</v>
      </c>
      <c r="C806" s="1" t="n">
        <v>46051</v>
      </c>
      <c r="D806" t="inlineStr">
        <is>
          <t>VÄRMLANDS LÄN</t>
        </is>
      </c>
      <c r="E806" t="inlineStr">
        <is>
          <t>ÅRJÄNG</t>
        </is>
      </c>
      <c r="G806" t="n">
        <v>2.2</v>
      </c>
      <c r="H806" t="n">
        <v>0</v>
      </c>
      <c r="I806" t="n">
        <v>0</v>
      </c>
      <c r="J806" t="n">
        <v>0</v>
      </c>
      <c r="K806" t="n">
        <v>0</v>
      </c>
      <c r="L806" t="n">
        <v>0</v>
      </c>
      <c r="M806" t="n">
        <v>0</v>
      </c>
      <c r="N806" t="n">
        <v>0</v>
      </c>
      <c r="O806" t="n">
        <v>0</v>
      </c>
      <c r="P806" t="n">
        <v>0</v>
      </c>
      <c r="Q806" t="n">
        <v>0</v>
      </c>
      <c r="R806" s="2" t="inlineStr"/>
    </row>
    <row r="807" ht="15" customHeight="1">
      <c r="A807" t="inlineStr">
        <is>
          <t>A 7660-2025</t>
        </is>
      </c>
      <c r="B807" s="1" t="n">
        <v>45706.32505787037</v>
      </c>
      <c r="C807" s="1" t="n">
        <v>46051</v>
      </c>
      <c r="D807" t="inlineStr">
        <is>
          <t>VÄRMLANDS LÄN</t>
        </is>
      </c>
      <c r="E807" t="inlineStr">
        <is>
          <t>ÅRJÄNG</t>
        </is>
      </c>
      <c r="G807" t="n">
        <v>2</v>
      </c>
      <c r="H807" t="n">
        <v>0</v>
      </c>
      <c r="I807" t="n">
        <v>0</v>
      </c>
      <c r="J807" t="n">
        <v>0</v>
      </c>
      <c r="K807" t="n">
        <v>0</v>
      </c>
      <c r="L807" t="n">
        <v>0</v>
      </c>
      <c r="M807" t="n">
        <v>0</v>
      </c>
      <c r="N807" t="n">
        <v>0</v>
      </c>
      <c r="O807" t="n">
        <v>0</v>
      </c>
      <c r="P807" t="n">
        <v>0</v>
      </c>
      <c r="Q807" t="n">
        <v>0</v>
      </c>
      <c r="R807" s="2" t="inlineStr"/>
    </row>
    <row r="808" ht="15" customHeight="1">
      <c r="A808" t="inlineStr">
        <is>
          <t>A 57240-2025</t>
        </is>
      </c>
      <c r="B808" s="1" t="n">
        <v>45979.62587962963</v>
      </c>
      <c r="C808" s="1" t="n">
        <v>46051</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57301-2025</t>
        </is>
      </c>
      <c r="B809" s="1" t="n">
        <v>45979</v>
      </c>
      <c r="C809" s="1" t="n">
        <v>46051</v>
      </c>
      <c r="D809" t="inlineStr">
        <is>
          <t>VÄRMLANDS LÄN</t>
        </is>
      </c>
      <c r="E809" t="inlineStr">
        <is>
          <t>ÅRJÄNG</t>
        </is>
      </c>
      <c r="G809" t="n">
        <v>1.6</v>
      </c>
      <c r="H809" t="n">
        <v>0</v>
      </c>
      <c r="I809" t="n">
        <v>0</v>
      </c>
      <c r="J809" t="n">
        <v>0</v>
      </c>
      <c r="K809" t="n">
        <v>0</v>
      </c>
      <c r="L809" t="n">
        <v>0</v>
      </c>
      <c r="M809" t="n">
        <v>0</v>
      </c>
      <c r="N809" t="n">
        <v>0</v>
      </c>
      <c r="O809" t="n">
        <v>0</v>
      </c>
      <c r="P809" t="n">
        <v>0</v>
      </c>
      <c r="Q809" t="n">
        <v>0</v>
      </c>
      <c r="R809" s="2" t="inlineStr"/>
    </row>
    <row r="810" ht="15" customHeight="1">
      <c r="A810" t="inlineStr">
        <is>
          <t>A 59336-2025</t>
        </is>
      </c>
      <c r="B810" s="1" t="n">
        <v>45979.67002314814</v>
      </c>
      <c r="C810" s="1" t="n">
        <v>46051</v>
      </c>
      <c r="D810" t="inlineStr">
        <is>
          <t>VÄRMLANDS LÄN</t>
        </is>
      </c>
      <c r="E810" t="inlineStr">
        <is>
          <t>ÅRJÄNG</t>
        </is>
      </c>
      <c r="G810" t="n">
        <v>0.6</v>
      </c>
      <c r="H810" t="n">
        <v>0</v>
      </c>
      <c r="I810" t="n">
        <v>0</v>
      </c>
      <c r="J810" t="n">
        <v>0</v>
      </c>
      <c r="K810" t="n">
        <v>0</v>
      </c>
      <c r="L810" t="n">
        <v>0</v>
      </c>
      <c r="M810" t="n">
        <v>0</v>
      </c>
      <c r="N810" t="n">
        <v>0</v>
      </c>
      <c r="O810" t="n">
        <v>0</v>
      </c>
      <c r="P810" t="n">
        <v>0</v>
      </c>
      <c r="Q810" t="n">
        <v>0</v>
      </c>
      <c r="R810" s="2" t="inlineStr"/>
    </row>
    <row r="811" ht="15" customHeight="1">
      <c r="A811" t="inlineStr">
        <is>
          <t>A 64095-2025</t>
        </is>
      </c>
      <c r="B811" s="1" t="n">
        <v>46021.75336805556</v>
      </c>
      <c r="C811" s="1" t="n">
        <v>46051</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52278-2023</t>
        </is>
      </c>
      <c r="B812" s="1" t="n">
        <v>45224.57358796296</v>
      </c>
      <c r="C812" s="1" t="n">
        <v>46051</v>
      </c>
      <c r="D812" t="inlineStr">
        <is>
          <t>VÄRMLANDS LÄN</t>
        </is>
      </c>
      <c r="E812" t="inlineStr">
        <is>
          <t>ÅRJÄNG</t>
        </is>
      </c>
      <c r="G812" t="n">
        <v>3.1</v>
      </c>
      <c r="H812" t="n">
        <v>0</v>
      </c>
      <c r="I812" t="n">
        <v>0</v>
      </c>
      <c r="J812" t="n">
        <v>0</v>
      </c>
      <c r="K812" t="n">
        <v>0</v>
      </c>
      <c r="L812" t="n">
        <v>0</v>
      </c>
      <c r="M812" t="n">
        <v>0</v>
      </c>
      <c r="N812" t="n">
        <v>0</v>
      </c>
      <c r="O812" t="n">
        <v>0</v>
      </c>
      <c r="P812" t="n">
        <v>0</v>
      </c>
      <c r="Q812" t="n">
        <v>0</v>
      </c>
      <c r="R812" s="2" t="inlineStr"/>
    </row>
    <row r="813" ht="15" customHeight="1">
      <c r="A813" t="inlineStr">
        <is>
          <t>A 57273-2025</t>
        </is>
      </c>
      <c r="B813" s="1" t="n">
        <v>45979.68439814815</v>
      </c>
      <c r="C813" s="1" t="n">
        <v>46051</v>
      </c>
      <c r="D813" t="inlineStr">
        <is>
          <t>VÄRMLANDS LÄN</t>
        </is>
      </c>
      <c r="E813" t="inlineStr">
        <is>
          <t>ÅRJÄNG</t>
        </is>
      </c>
      <c r="G813" t="n">
        <v>1.8</v>
      </c>
      <c r="H813" t="n">
        <v>0</v>
      </c>
      <c r="I813" t="n">
        <v>0</v>
      </c>
      <c r="J813" t="n">
        <v>0</v>
      </c>
      <c r="K813" t="n">
        <v>0</v>
      </c>
      <c r="L813" t="n">
        <v>0</v>
      </c>
      <c r="M813" t="n">
        <v>0</v>
      </c>
      <c r="N813" t="n">
        <v>0</v>
      </c>
      <c r="O813" t="n">
        <v>0</v>
      </c>
      <c r="P813" t="n">
        <v>0</v>
      </c>
      <c r="Q813" t="n">
        <v>0</v>
      </c>
      <c r="R813" s="2" t="inlineStr"/>
    </row>
    <row r="814" ht="15" customHeight="1">
      <c r="A814" t="inlineStr">
        <is>
          <t>A 57439-2025</t>
        </is>
      </c>
      <c r="B814" s="1" t="n">
        <v>45980.48193287037</v>
      </c>
      <c r="C814" s="1" t="n">
        <v>46051</v>
      </c>
      <c r="D814" t="inlineStr">
        <is>
          <t>VÄRMLANDS LÄN</t>
        </is>
      </c>
      <c r="E814" t="inlineStr">
        <is>
          <t>ÅRJÄNG</t>
        </is>
      </c>
      <c r="G814" t="n">
        <v>4.4</v>
      </c>
      <c r="H814" t="n">
        <v>0</v>
      </c>
      <c r="I814" t="n">
        <v>0</v>
      </c>
      <c r="J814" t="n">
        <v>0</v>
      </c>
      <c r="K814" t="n">
        <v>0</v>
      </c>
      <c r="L814" t="n">
        <v>0</v>
      </c>
      <c r="M814" t="n">
        <v>0</v>
      </c>
      <c r="N814" t="n">
        <v>0</v>
      </c>
      <c r="O814" t="n">
        <v>0</v>
      </c>
      <c r="P814" t="n">
        <v>0</v>
      </c>
      <c r="Q814" t="n">
        <v>0</v>
      </c>
      <c r="R814" s="2" t="inlineStr"/>
    </row>
    <row r="815" ht="15" customHeight="1">
      <c r="A815" t="inlineStr">
        <is>
          <t>A 57078-2025</t>
        </is>
      </c>
      <c r="B815" s="1" t="n">
        <v>45979.40554398148</v>
      </c>
      <c r="C815" s="1" t="n">
        <v>46051</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48130-2023</t>
        </is>
      </c>
      <c r="B816" s="1" t="n">
        <v>45201</v>
      </c>
      <c r="C816" s="1" t="n">
        <v>46051</v>
      </c>
      <c r="D816" t="inlineStr">
        <is>
          <t>VÄRMLANDS LÄN</t>
        </is>
      </c>
      <c r="E816" t="inlineStr">
        <is>
          <t>ÅRJÄNG</t>
        </is>
      </c>
      <c r="G816" t="n">
        <v>3</v>
      </c>
      <c r="H816" t="n">
        <v>0</v>
      </c>
      <c r="I816" t="n">
        <v>0</v>
      </c>
      <c r="J816" t="n">
        <v>0</v>
      </c>
      <c r="K816" t="n">
        <v>0</v>
      </c>
      <c r="L816" t="n">
        <v>0</v>
      </c>
      <c r="M816" t="n">
        <v>0</v>
      </c>
      <c r="N816" t="n">
        <v>0</v>
      </c>
      <c r="O816" t="n">
        <v>0</v>
      </c>
      <c r="P816" t="n">
        <v>0</v>
      </c>
      <c r="Q816" t="n">
        <v>0</v>
      </c>
      <c r="R816" s="2" t="inlineStr"/>
    </row>
    <row r="817" ht="15" customHeight="1">
      <c r="A817" t="inlineStr">
        <is>
          <t>A 8918-2025</t>
        </is>
      </c>
      <c r="B817" s="1" t="n">
        <v>45713.43067129629</v>
      </c>
      <c r="C817" s="1" t="n">
        <v>46051</v>
      </c>
      <c r="D817" t="inlineStr">
        <is>
          <t>VÄRMLANDS LÄN</t>
        </is>
      </c>
      <c r="E817" t="inlineStr">
        <is>
          <t>ÅRJÄNG</t>
        </is>
      </c>
      <c r="G817" t="n">
        <v>1.7</v>
      </c>
      <c r="H817" t="n">
        <v>0</v>
      </c>
      <c r="I817" t="n">
        <v>0</v>
      </c>
      <c r="J817" t="n">
        <v>0</v>
      </c>
      <c r="K817" t="n">
        <v>0</v>
      </c>
      <c r="L817" t="n">
        <v>0</v>
      </c>
      <c r="M817" t="n">
        <v>0</v>
      </c>
      <c r="N817" t="n">
        <v>0</v>
      </c>
      <c r="O817" t="n">
        <v>0</v>
      </c>
      <c r="P817" t="n">
        <v>0</v>
      </c>
      <c r="Q817" t="n">
        <v>0</v>
      </c>
      <c r="R817" s="2" t="inlineStr"/>
    </row>
    <row r="818" ht="15" customHeight="1">
      <c r="A818" t="inlineStr">
        <is>
          <t>A 57218-2025</t>
        </is>
      </c>
      <c r="B818" s="1" t="n">
        <v>45979.61164351852</v>
      </c>
      <c r="C818" s="1" t="n">
        <v>46051</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57003-2025</t>
        </is>
      </c>
      <c r="B819" s="1" t="n">
        <v>45978.75783564815</v>
      </c>
      <c r="C819" s="1" t="n">
        <v>46051</v>
      </c>
      <c r="D819" t="inlineStr">
        <is>
          <t>VÄRMLANDS LÄN</t>
        </is>
      </c>
      <c r="E819" t="inlineStr">
        <is>
          <t>ÅRJÄNG</t>
        </is>
      </c>
      <c r="G819" t="n">
        <v>3</v>
      </c>
      <c r="H819" t="n">
        <v>0</v>
      </c>
      <c r="I819" t="n">
        <v>0</v>
      </c>
      <c r="J819" t="n">
        <v>0</v>
      </c>
      <c r="K819" t="n">
        <v>0</v>
      </c>
      <c r="L819" t="n">
        <v>0</v>
      </c>
      <c r="M819" t="n">
        <v>0</v>
      </c>
      <c r="N819" t="n">
        <v>0</v>
      </c>
      <c r="O819" t="n">
        <v>0</v>
      </c>
      <c r="P819" t="n">
        <v>0</v>
      </c>
      <c r="Q819" t="n">
        <v>0</v>
      </c>
      <c r="R819" s="2" t="inlineStr"/>
    </row>
    <row r="820" ht="15" customHeight="1">
      <c r="A820" t="inlineStr">
        <is>
          <t>A 36641-2021</t>
        </is>
      </c>
      <c r="B820" s="1" t="n">
        <v>44392.31038194444</v>
      </c>
      <c r="C820" s="1" t="n">
        <v>46051</v>
      </c>
      <c r="D820" t="inlineStr">
        <is>
          <t>VÄRMLANDS LÄN</t>
        </is>
      </c>
      <c r="E820" t="inlineStr">
        <is>
          <t>ÅRJÄNG</t>
        </is>
      </c>
      <c r="G820" t="n">
        <v>1.5</v>
      </c>
      <c r="H820" t="n">
        <v>0</v>
      </c>
      <c r="I820" t="n">
        <v>0</v>
      </c>
      <c r="J820" t="n">
        <v>0</v>
      </c>
      <c r="K820" t="n">
        <v>0</v>
      </c>
      <c r="L820" t="n">
        <v>0</v>
      </c>
      <c r="M820" t="n">
        <v>0</v>
      </c>
      <c r="N820" t="n">
        <v>0</v>
      </c>
      <c r="O820" t="n">
        <v>0</v>
      </c>
      <c r="P820" t="n">
        <v>0</v>
      </c>
      <c r="Q820" t="n">
        <v>0</v>
      </c>
      <c r="R820" s="2" t="inlineStr"/>
    </row>
    <row r="821" ht="15" customHeight="1">
      <c r="A821" t="inlineStr">
        <is>
          <t>A 57004-2025</t>
        </is>
      </c>
      <c r="B821" s="1" t="n">
        <v>45978.75946759259</v>
      </c>
      <c r="C821" s="1" t="n">
        <v>46051</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57005-2025</t>
        </is>
      </c>
      <c r="B822" s="1" t="n">
        <v>45978.76155092593</v>
      </c>
      <c r="C822" s="1" t="n">
        <v>46051</v>
      </c>
      <c r="D822" t="inlineStr">
        <is>
          <t>VÄRMLANDS LÄN</t>
        </is>
      </c>
      <c r="E822" t="inlineStr">
        <is>
          <t>ÅRJÄNG</t>
        </is>
      </c>
      <c r="G822" t="n">
        <v>1.8</v>
      </c>
      <c r="H822" t="n">
        <v>0</v>
      </c>
      <c r="I822" t="n">
        <v>0</v>
      </c>
      <c r="J822" t="n">
        <v>0</v>
      </c>
      <c r="K822" t="n">
        <v>0</v>
      </c>
      <c r="L822" t="n">
        <v>0</v>
      </c>
      <c r="M822" t="n">
        <v>0</v>
      </c>
      <c r="N822" t="n">
        <v>0</v>
      </c>
      <c r="O822" t="n">
        <v>0</v>
      </c>
      <c r="P822" t="n">
        <v>0</v>
      </c>
      <c r="Q822" t="n">
        <v>0</v>
      </c>
      <c r="R822" s="2" t="inlineStr"/>
    </row>
    <row r="823" ht="15" customHeight="1">
      <c r="A823" t="inlineStr">
        <is>
          <t>A 27001-2021</t>
        </is>
      </c>
      <c r="B823" s="1" t="n">
        <v>44350.35271990741</v>
      </c>
      <c r="C823" s="1" t="n">
        <v>46051</v>
      </c>
      <c r="D823" t="inlineStr">
        <is>
          <t>VÄRMLANDS LÄN</t>
        </is>
      </c>
      <c r="E823" t="inlineStr">
        <is>
          <t>ÅRJÄNG</t>
        </is>
      </c>
      <c r="G823" t="n">
        <v>3.7</v>
      </c>
      <c r="H823" t="n">
        <v>0</v>
      </c>
      <c r="I823" t="n">
        <v>0</v>
      </c>
      <c r="J823" t="n">
        <v>0</v>
      </c>
      <c r="K823" t="n">
        <v>0</v>
      </c>
      <c r="L823" t="n">
        <v>0</v>
      </c>
      <c r="M823" t="n">
        <v>0</v>
      </c>
      <c r="N823" t="n">
        <v>0</v>
      </c>
      <c r="O823" t="n">
        <v>0</v>
      </c>
      <c r="P823" t="n">
        <v>0</v>
      </c>
      <c r="Q823" t="n">
        <v>0</v>
      </c>
      <c r="R823" s="2" t="inlineStr"/>
    </row>
    <row r="824" ht="15" customHeight="1">
      <c r="A824" t="inlineStr">
        <is>
          <t>A 42576-2021</t>
        </is>
      </c>
      <c r="B824" s="1" t="n">
        <v>44428</v>
      </c>
      <c r="C824" s="1" t="n">
        <v>46051</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33525-2022</t>
        </is>
      </c>
      <c r="B825" s="1" t="n">
        <v>44789.31077546296</v>
      </c>
      <c r="C825" s="1" t="n">
        <v>46051</v>
      </c>
      <c r="D825" t="inlineStr">
        <is>
          <t>VÄRMLANDS LÄN</t>
        </is>
      </c>
      <c r="E825" t="inlineStr">
        <is>
          <t>ÅRJÄNG</t>
        </is>
      </c>
      <c r="G825" t="n">
        <v>2.2</v>
      </c>
      <c r="H825" t="n">
        <v>0</v>
      </c>
      <c r="I825" t="n">
        <v>0</v>
      </c>
      <c r="J825" t="n">
        <v>0</v>
      </c>
      <c r="K825" t="n">
        <v>0</v>
      </c>
      <c r="L825" t="n">
        <v>0</v>
      </c>
      <c r="M825" t="n">
        <v>0</v>
      </c>
      <c r="N825" t="n">
        <v>0</v>
      </c>
      <c r="O825" t="n">
        <v>0</v>
      </c>
      <c r="P825" t="n">
        <v>0</v>
      </c>
      <c r="Q825" t="n">
        <v>0</v>
      </c>
      <c r="R825" s="2" t="inlineStr"/>
    </row>
    <row r="826" ht="15" customHeight="1">
      <c r="A826" t="inlineStr">
        <is>
          <t>A 4763-2023</t>
        </is>
      </c>
      <c r="B826" s="1" t="n">
        <v>44957.57651620371</v>
      </c>
      <c r="C826" s="1" t="n">
        <v>46051</v>
      </c>
      <c r="D826" t="inlineStr">
        <is>
          <t>VÄRMLANDS LÄN</t>
        </is>
      </c>
      <c r="E826" t="inlineStr">
        <is>
          <t>ÅRJÄNG</t>
        </is>
      </c>
      <c r="G826" t="n">
        <v>0.8</v>
      </c>
      <c r="H826" t="n">
        <v>0</v>
      </c>
      <c r="I826" t="n">
        <v>0</v>
      </c>
      <c r="J826" t="n">
        <v>0</v>
      </c>
      <c r="K826" t="n">
        <v>0</v>
      </c>
      <c r="L826" t="n">
        <v>0</v>
      </c>
      <c r="M826" t="n">
        <v>0</v>
      </c>
      <c r="N826" t="n">
        <v>0</v>
      </c>
      <c r="O826" t="n">
        <v>0</v>
      </c>
      <c r="P826" t="n">
        <v>0</v>
      </c>
      <c r="Q826" t="n">
        <v>0</v>
      </c>
      <c r="R826" s="2" t="inlineStr"/>
    </row>
    <row r="827" ht="15" customHeight="1">
      <c r="A827" t="inlineStr">
        <is>
          <t>A 7877-2025</t>
        </is>
      </c>
      <c r="B827" s="1" t="n">
        <v>45706.76609953704</v>
      </c>
      <c r="C827" s="1" t="n">
        <v>46051</v>
      </c>
      <c r="D827" t="inlineStr">
        <is>
          <t>VÄRMLANDS LÄN</t>
        </is>
      </c>
      <c r="E827" t="inlineStr">
        <is>
          <t>ÅRJÄNG</t>
        </is>
      </c>
      <c r="G827" t="n">
        <v>2.8</v>
      </c>
      <c r="H827" t="n">
        <v>0</v>
      </c>
      <c r="I827" t="n">
        <v>0</v>
      </c>
      <c r="J827" t="n">
        <v>0</v>
      </c>
      <c r="K827" t="n">
        <v>0</v>
      </c>
      <c r="L827" t="n">
        <v>0</v>
      </c>
      <c r="M827" t="n">
        <v>0</v>
      </c>
      <c r="N827" t="n">
        <v>0</v>
      </c>
      <c r="O827" t="n">
        <v>0</v>
      </c>
      <c r="P827" t="n">
        <v>0</v>
      </c>
      <c r="Q827" t="n">
        <v>0</v>
      </c>
      <c r="R827" s="2" t="inlineStr"/>
    </row>
    <row r="828" ht="15" customHeight="1">
      <c r="A828" t="inlineStr">
        <is>
          <t>A 57740-2025</t>
        </is>
      </c>
      <c r="B828" s="1" t="n">
        <v>45981</v>
      </c>
      <c r="C828" s="1" t="n">
        <v>46051</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57741-2025</t>
        </is>
      </c>
      <c r="B829" s="1" t="n">
        <v>45981</v>
      </c>
      <c r="C829" s="1" t="n">
        <v>46051</v>
      </c>
      <c r="D829" t="inlineStr">
        <is>
          <t>VÄRMLANDS LÄN</t>
        </is>
      </c>
      <c r="E829" t="inlineStr">
        <is>
          <t>ÅRJÄNG</t>
        </is>
      </c>
      <c r="G829" t="n">
        <v>2.8</v>
      </c>
      <c r="H829" t="n">
        <v>0</v>
      </c>
      <c r="I829" t="n">
        <v>0</v>
      </c>
      <c r="J829" t="n">
        <v>0</v>
      </c>
      <c r="K829" t="n">
        <v>0</v>
      </c>
      <c r="L829" t="n">
        <v>0</v>
      </c>
      <c r="M829" t="n">
        <v>0</v>
      </c>
      <c r="N829" t="n">
        <v>0</v>
      </c>
      <c r="O829" t="n">
        <v>0</v>
      </c>
      <c r="P829" t="n">
        <v>0</v>
      </c>
      <c r="Q829" t="n">
        <v>0</v>
      </c>
      <c r="R829" s="2" t="inlineStr"/>
    </row>
    <row r="830" ht="15" customHeight="1">
      <c r="A830" t="inlineStr">
        <is>
          <t>A 57752-2025</t>
        </is>
      </c>
      <c r="B830" s="1" t="n">
        <v>45981</v>
      </c>
      <c r="C830" s="1" t="n">
        <v>46051</v>
      </c>
      <c r="D830" t="inlineStr">
        <is>
          <t>VÄRMLANDS LÄN</t>
        </is>
      </c>
      <c r="E830" t="inlineStr">
        <is>
          <t>ÅRJÄNG</t>
        </is>
      </c>
      <c r="G830" t="n">
        <v>4.3</v>
      </c>
      <c r="H830" t="n">
        <v>0</v>
      </c>
      <c r="I830" t="n">
        <v>0</v>
      </c>
      <c r="J830" t="n">
        <v>0</v>
      </c>
      <c r="K830" t="n">
        <v>0</v>
      </c>
      <c r="L830" t="n">
        <v>0</v>
      </c>
      <c r="M830" t="n">
        <v>0</v>
      </c>
      <c r="N830" t="n">
        <v>0</v>
      </c>
      <c r="O830" t="n">
        <v>0</v>
      </c>
      <c r="P830" t="n">
        <v>0</v>
      </c>
      <c r="Q830" t="n">
        <v>0</v>
      </c>
      <c r="R830" s="2" t="inlineStr"/>
    </row>
    <row r="831" ht="15" customHeight="1">
      <c r="A831" t="inlineStr">
        <is>
          <t>A 57924-2025</t>
        </is>
      </c>
      <c r="B831" s="1" t="n">
        <v>45981</v>
      </c>
      <c r="C831" s="1" t="n">
        <v>46051</v>
      </c>
      <c r="D831" t="inlineStr">
        <is>
          <t>VÄRMLANDS LÄN</t>
        </is>
      </c>
      <c r="E831" t="inlineStr">
        <is>
          <t>ÅRJÄNG</t>
        </is>
      </c>
      <c r="G831" t="n">
        <v>3</v>
      </c>
      <c r="H831" t="n">
        <v>0</v>
      </c>
      <c r="I831" t="n">
        <v>0</v>
      </c>
      <c r="J831" t="n">
        <v>0</v>
      </c>
      <c r="K831" t="n">
        <v>0</v>
      </c>
      <c r="L831" t="n">
        <v>0</v>
      </c>
      <c r="M831" t="n">
        <v>0</v>
      </c>
      <c r="N831" t="n">
        <v>0</v>
      </c>
      <c r="O831" t="n">
        <v>0</v>
      </c>
      <c r="P831" t="n">
        <v>0</v>
      </c>
      <c r="Q831" t="n">
        <v>0</v>
      </c>
      <c r="R831" s="2" t="inlineStr"/>
    </row>
    <row r="832" ht="15" customHeight="1">
      <c r="A832" t="inlineStr">
        <is>
          <t>A 11815-2025</t>
        </is>
      </c>
      <c r="B832" s="1" t="n">
        <v>45728.28719907408</v>
      </c>
      <c r="C832" s="1" t="n">
        <v>46051</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46051</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46051</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46051</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57925-2025</t>
        </is>
      </c>
      <c r="B836" s="1" t="n">
        <v>45981.87783564815</v>
      </c>
      <c r="C836" s="1" t="n">
        <v>46051</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57929-2025</t>
        </is>
      </c>
      <c r="B837" s="1" t="n">
        <v>45981.89403935185</v>
      </c>
      <c r="C837" s="1" t="n">
        <v>46051</v>
      </c>
      <c r="D837" t="inlineStr">
        <is>
          <t>VÄRMLANDS LÄN</t>
        </is>
      </c>
      <c r="E837" t="inlineStr">
        <is>
          <t>ÅRJÄNG</t>
        </is>
      </c>
      <c r="G837" t="n">
        <v>2.3</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46051</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58571-2025</t>
        </is>
      </c>
      <c r="B839" s="1" t="n">
        <v>45986.37361111111</v>
      </c>
      <c r="C839" s="1" t="n">
        <v>46051</v>
      </c>
      <c r="D839" t="inlineStr">
        <is>
          <t>VÄRMLANDS LÄN</t>
        </is>
      </c>
      <c r="E839" t="inlineStr">
        <is>
          <t>ÅRJÄNG</t>
        </is>
      </c>
      <c r="G839" t="n">
        <v>3</v>
      </c>
      <c r="H839" t="n">
        <v>0</v>
      </c>
      <c r="I839" t="n">
        <v>0</v>
      </c>
      <c r="J839" t="n">
        <v>0</v>
      </c>
      <c r="K839" t="n">
        <v>0</v>
      </c>
      <c r="L839" t="n">
        <v>0</v>
      </c>
      <c r="M839" t="n">
        <v>0</v>
      </c>
      <c r="N839" t="n">
        <v>0</v>
      </c>
      <c r="O839" t="n">
        <v>0</v>
      </c>
      <c r="P839" t="n">
        <v>0</v>
      </c>
      <c r="Q839" t="n">
        <v>0</v>
      </c>
      <c r="R839" s="2" t="inlineStr"/>
    </row>
    <row r="840" ht="15" customHeight="1">
      <c r="A840" t="inlineStr">
        <is>
          <t>A 51493-2023</t>
        </is>
      </c>
      <c r="B840" s="1" t="n">
        <v>45215</v>
      </c>
      <c r="C840" s="1" t="n">
        <v>46051</v>
      </c>
      <c r="D840" t="inlineStr">
        <is>
          <t>VÄRMLANDS LÄN</t>
        </is>
      </c>
      <c r="E840" t="inlineStr">
        <is>
          <t>ÅRJÄNG</t>
        </is>
      </c>
      <c r="F840" t="inlineStr">
        <is>
          <t>Övriga Aktiebolag</t>
        </is>
      </c>
      <c r="G840" t="n">
        <v>9.1</v>
      </c>
      <c r="H840" t="n">
        <v>0</v>
      </c>
      <c r="I840" t="n">
        <v>0</v>
      </c>
      <c r="J840" t="n">
        <v>0</v>
      </c>
      <c r="K840" t="n">
        <v>0</v>
      </c>
      <c r="L840" t="n">
        <v>0</v>
      </c>
      <c r="M840" t="n">
        <v>0</v>
      </c>
      <c r="N840" t="n">
        <v>0</v>
      </c>
      <c r="O840" t="n">
        <v>0</v>
      </c>
      <c r="P840" t="n">
        <v>0</v>
      </c>
      <c r="Q840" t="n">
        <v>0</v>
      </c>
      <c r="R840" s="2" t="inlineStr"/>
    </row>
    <row r="841" ht="15" customHeight="1">
      <c r="A841" t="inlineStr">
        <is>
          <t>A 18309-2025</t>
        </is>
      </c>
      <c r="B841" s="1" t="n">
        <v>45762.44186342593</v>
      </c>
      <c r="C841" s="1" t="n">
        <v>46051</v>
      </c>
      <c r="D841" t="inlineStr">
        <is>
          <t>VÄRMLANDS LÄN</t>
        </is>
      </c>
      <c r="E841" t="inlineStr">
        <is>
          <t>ÅRJÄNG</t>
        </is>
      </c>
      <c r="G841" t="n">
        <v>6.2</v>
      </c>
      <c r="H841" t="n">
        <v>0</v>
      </c>
      <c r="I841" t="n">
        <v>0</v>
      </c>
      <c r="J841" t="n">
        <v>0</v>
      </c>
      <c r="K841" t="n">
        <v>0</v>
      </c>
      <c r="L841" t="n">
        <v>0</v>
      </c>
      <c r="M841" t="n">
        <v>0</v>
      </c>
      <c r="N841" t="n">
        <v>0</v>
      </c>
      <c r="O841" t="n">
        <v>0</v>
      </c>
      <c r="P841" t="n">
        <v>0</v>
      </c>
      <c r="Q841" t="n">
        <v>0</v>
      </c>
      <c r="R841" s="2" t="inlineStr"/>
    </row>
    <row r="842" ht="15" customHeight="1">
      <c r="A842" t="inlineStr">
        <is>
          <t>A 58577-2025</t>
        </is>
      </c>
      <c r="B842" s="1" t="n">
        <v>45986.38273148148</v>
      </c>
      <c r="C842" s="1" t="n">
        <v>46051</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58518-2025</t>
        </is>
      </c>
      <c r="B843" s="1" t="n">
        <v>45985.7062037037</v>
      </c>
      <c r="C843" s="1" t="n">
        <v>46051</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365-2026</t>
        </is>
      </c>
      <c r="B844" s="1" t="n">
        <v>46027.67851851852</v>
      </c>
      <c r="C844" s="1" t="n">
        <v>46051</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397-2026</t>
        </is>
      </c>
      <c r="B845" s="1" t="n">
        <v>46028.62203703704</v>
      </c>
      <c r="C845" s="1" t="n">
        <v>46051</v>
      </c>
      <c r="D845" t="inlineStr">
        <is>
          <t>VÄRMLANDS LÄN</t>
        </is>
      </c>
      <c r="E845" t="inlineStr">
        <is>
          <t>ÅRJÄNG</t>
        </is>
      </c>
      <c r="G845" t="n">
        <v>0.8</v>
      </c>
      <c r="H845" t="n">
        <v>0</v>
      </c>
      <c r="I845" t="n">
        <v>0</v>
      </c>
      <c r="J845" t="n">
        <v>0</v>
      </c>
      <c r="K845" t="n">
        <v>0</v>
      </c>
      <c r="L845" t="n">
        <v>0</v>
      </c>
      <c r="M845" t="n">
        <v>0</v>
      </c>
      <c r="N845" t="n">
        <v>0</v>
      </c>
      <c r="O845" t="n">
        <v>0</v>
      </c>
      <c r="P845" t="n">
        <v>0</v>
      </c>
      <c r="Q845" t="n">
        <v>0</v>
      </c>
      <c r="R845" s="2" t="inlineStr"/>
    </row>
    <row r="846" ht="15" customHeight="1">
      <c r="A846" t="inlineStr">
        <is>
          <t>A 14917-2025</t>
        </is>
      </c>
      <c r="B846" s="1" t="n">
        <v>45743.53748842593</v>
      </c>
      <c r="C846" s="1" t="n">
        <v>46051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58392-2025</t>
        </is>
      </c>
      <c r="B847" s="1" t="n">
        <v>45985.55128472222</v>
      </c>
      <c r="C847" s="1" t="n">
        <v>46051</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58578-2025</t>
        </is>
      </c>
      <c r="B848" s="1" t="n">
        <v>45986.38496527778</v>
      </c>
      <c r="C848" s="1" t="n">
        <v>46051</v>
      </c>
      <c r="D848" t="inlineStr">
        <is>
          <t>VÄRMLANDS LÄN</t>
        </is>
      </c>
      <c r="E848" t="inlineStr">
        <is>
          <t>ÅRJÄNG</t>
        </is>
      </c>
      <c r="G848" t="n">
        <v>0.6</v>
      </c>
      <c r="H848" t="n">
        <v>0</v>
      </c>
      <c r="I848" t="n">
        <v>0</v>
      </c>
      <c r="J848" t="n">
        <v>0</v>
      </c>
      <c r="K848" t="n">
        <v>0</v>
      </c>
      <c r="L848" t="n">
        <v>0</v>
      </c>
      <c r="M848" t="n">
        <v>0</v>
      </c>
      <c r="N848" t="n">
        <v>0</v>
      </c>
      <c r="O848" t="n">
        <v>0</v>
      </c>
      <c r="P848" t="n">
        <v>0</v>
      </c>
      <c r="Q848" t="n">
        <v>0</v>
      </c>
      <c r="R848" s="2" t="inlineStr"/>
    </row>
    <row r="849" ht="15" customHeight="1">
      <c r="A849" t="inlineStr">
        <is>
          <t>A 54950-2022</t>
        </is>
      </c>
      <c r="B849" s="1" t="n">
        <v>44886</v>
      </c>
      <c r="C849" s="1" t="n">
        <v>46051</v>
      </c>
      <c r="D849" t="inlineStr">
        <is>
          <t>VÄRMLANDS LÄN</t>
        </is>
      </c>
      <c r="E849" t="inlineStr">
        <is>
          <t>ÅRJÄNG</t>
        </is>
      </c>
      <c r="G849" t="n">
        <v>13</v>
      </c>
      <c r="H849" t="n">
        <v>0</v>
      </c>
      <c r="I849" t="n">
        <v>0</v>
      </c>
      <c r="J849" t="n">
        <v>0</v>
      </c>
      <c r="K849" t="n">
        <v>0</v>
      </c>
      <c r="L849" t="n">
        <v>0</v>
      </c>
      <c r="M849" t="n">
        <v>0</v>
      </c>
      <c r="N849" t="n">
        <v>0</v>
      </c>
      <c r="O849" t="n">
        <v>0</v>
      </c>
      <c r="P849" t="n">
        <v>0</v>
      </c>
      <c r="Q849" t="n">
        <v>0</v>
      </c>
      <c r="R849" s="2" t="inlineStr"/>
    </row>
    <row r="850" ht="15" customHeight="1">
      <c r="A850" t="inlineStr">
        <is>
          <t>A 58573-2025</t>
        </is>
      </c>
      <c r="B850" s="1" t="n">
        <v>45986.37599537037</v>
      </c>
      <c r="C850" s="1" t="n">
        <v>46051</v>
      </c>
      <c r="D850" t="inlineStr">
        <is>
          <t>VÄRMLANDS LÄN</t>
        </is>
      </c>
      <c r="E850" t="inlineStr">
        <is>
          <t>ÅRJÄNG</t>
        </is>
      </c>
      <c r="G850" t="n">
        <v>1.6</v>
      </c>
      <c r="H850" t="n">
        <v>0</v>
      </c>
      <c r="I850" t="n">
        <v>0</v>
      </c>
      <c r="J850" t="n">
        <v>0</v>
      </c>
      <c r="K850" t="n">
        <v>0</v>
      </c>
      <c r="L850" t="n">
        <v>0</v>
      </c>
      <c r="M850" t="n">
        <v>0</v>
      </c>
      <c r="N850" t="n">
        <v>0</v>
      </c>
      <c r="O850" t="n">
        <v>0</v>
      </c>
      <c r="P850" t="n">
        <v>0</v>
      </c>
      <c r="Q850" t="n">
        <v>0</v>
      </c>
      <c r="R850" s="2" t="inlineStr"/>
    </row>
    <row r="851" ht="15" customHeight="1">
      <c r="A851" t="inlineStr">
        <is>
          <t>A 1717-2025</t>
        </is>
      </c>
      <c r="B851" s="1" t="n">
        <v>45671.32938657407</v>
      </c>
      <c r="C851" s="1" t="n">
        <v>46051</v>
      </c>
      <c r="D851" t="inlineStr">
        <is>
          <t>VÄRMLANDS LÄN</t>
        </is>
      </c>
      <c r="E851" t="inlineStr">
        <is>
          <t>ÅRJÄNG</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58971-2025</t>
        </is>
      </c>
      <c r="B852" s="1" t="n">
        <v>45987</v>
      </c>
      <c r="C852" s="1" t="n">
        <v>46051</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62240-2022</t>
        </is>
      </c>
      <c r="B853" s="1" t="n">
        <v>44922</v>
      </c>
      <c r="C853" s="1" t="n">
        <v>46051</v>
      </c>
      <c r="D853" t="inlineStr">
        <is>
          <t>VÄRMLANDS LÄN</t>
        </is>
      </c>
      <c r="E853" t="inlineStr">
        <is>
          <t>ÅRJÄNG</t>
        </is>
      </c>
      <c r="G853" t="n">
        <v>0.5</v>
      </c>
      <c r="H853" t="n">
        <v>0</v>
      </c>
      <c r="I853" t="n">
        <v>0</v>
      </c>
      <c r="J853" t="n">
        <v>0</v>
      </c>
      <c r="K853" t="n">
        <v>0</v>
      </c>
      <c r="L853" t="n">
        <v>0</v>
      </c>
      <c r="M853" t="n">
        <v>0</v>
      </c>
      <c r="N853" t="n">
        <v>0</v>
      </c>
      <c r="O853" t="n">
        <v>0</v>
      </c>
      <c r="P853" t="n">
        <v>0</v>
      </c>
      <c r="Q853" t="n">
        <v>0</v>
      </c>
      <c r="R853" s="2" t="inlineStr"/>
    </row>
    <row r="854" ht="15" customHeight="1">
      <c r="A854" t="inlineStr">
        <is>
          <t>A 483-2026</t>
        </is>
      </c>
      <c r="B854" s="1" t="n">
        <v>46029.40996527778</v>
      </c>
      <c r="C854" s="1" t="n">
        <v>46051</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486-2026</t>
        </is>
      </c>
      <c r="B855" s="1" t="n">
        <v>46029.42121527778</v>
      </c>
      <c r="C855" s="1" t="n">
        <v>46051</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13871-2025</t>
        </is>
      </c>
      <c r="B856" s="1" t="n">
        <v>45737.58568287037</v>
      </c>
      <c r="C856" s="1" t="n">
        <v>46051</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449-2026</t>
        </is>
      </c>
      <c r="B857" s="1" t="n">
        <v>46029.35167824074</v>
      </c>
      <c r="C857" s="1" t="n">
        <v>46051</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947-2026</t>
        </is>
      </c>
      <c r="B858" s="1" t="n">
        <v>46030.53958333333</v>
      </c>
      <c r="C858" s="1" t="n">
        <v>46051</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434-2026</t>
        </is>
      </c>
      <c r="B859" s="1" t="n">
        <v>46029.33444444444</v>
      </c>
      <c r="C859" s="1" t="n">
        <v>46051</v>
      </c>
      <c r="D859" t="inlineStr">
        <is>
          <t>VÄRMLANDS LÄN</t>
        </is>
      </c>
      <c r="E859" t="inlineStr">
        <is>
          <t>ÅRJÄNG</t>
        </is>
      </c>
      <c r="G859" t="n">
        <v>6.2</v>
      </c>
      <c r="H859" t="n">
        <v>0</v>
      </c>
      <c r="I859" t="n">
        <v>0</v>
      </c>
      <c r="J859" t="n">
        <v>0</v>
      </c>
      <c r="K859" t="n">
        <v>0</v>
      </c>
      <c r="L859" t="n">
        <v>0</v>
      </c>
      <c r="M859" t="n">
        <v>0</v>
      </c>
      <c r="N859" t="n">
        <v>0</v>
      </c>
      <c r="O859" t="n">
        <v>0</v>
      </c>
      <c r="P859" t="n">
        <v>0</v>
      </c>
      <c r="Q859" t="n">
        <v>0</v>
      </c>
      <c r="R859" s="2" t="inlineStr"/>
    </row>
    <row r="860" ht="15" customHeight="1">
      <c r="A860" t="inlineStr">
        <is>
          <t>A 951-2026</t>
        </is>
      </c>
      <c r="B860" s="1" t="n">
        <v>46030.54324074074</v>
      </c>
      <c r="C860" s="1" t="n">
        <v>46051</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59746-2023</t>
        </is>
      </c>
      <c r="B861" s="1" t="n">
        <v>45254</v>
      </c>
      <c r="C861" s="1" t="n">
        <v>46051</v>
      </c>
      <c r="D861" t="inlineStr">
        <is>
          <t>VÄRMLANDS LÄN</t>
        </is>
      </c>
      <c r="E861" t="inlineStr">
        <is>
          <t>ÅRJÄNG</t>
        </is>
      </c>
      <c r="G861" t="n">
        <v>4.4</v>
      </c>
      <c r="H861" t="n">
        <v>0</v>
      </c>
      <c r="I861" t="n">
        <v>0</v>
      </c>
      <c r="J861" t="n">
        <v>0</v>
      </c>
      <c r="K861" t="n">
        <v>0</v>
      </c>
      <c r="L861" t="n">
        <v>0</v>
      </c>
      <c r="M861" t="n">
        <v>0</v>
      </c>
      <c r="N861" t="n">
        <v>0</v>
      </c>
      <c r="O861" t="n">
        <v>0</v>
      </c>
      <c r="P861" t="n">
        <v>0</v>
      </c>
      <c r="Q861" t="n">
        <v>0</v>
      </c>
      <c r="R861" s="2" t="inlineStr"/>
    </row>
    <row r="862" ht="15" customHeight="1">
      <c r="A862" t="inlineStr">
        <is>
          <t>A 55091-2023</t>
        </is>
      </c>
      <c r="B862" s="1" t="n">
        <v>45237</v>
      </c>
      <c r="C862" s="1" t="n">
        <v>46051</v>
      </c>
      <c r="D862" t="inlineStr">
        <is>
          <t>VÄRMLANDS LÄN</t>
        </is>
      </c>
      <c r="E862" t="inlineStr">
        <is>
          <t>ÅRJÄNG</t>
        </is>
      </c>
      <c r="G862" t="n">
        <v>3.8</v>
      </c>
      <c r="H862" t="n">
        <v>0</v>
      </c>
      <c r="I862" t="n">
        <v>0</v>
      </c>
      <c r="J862" t="n">
        <v>0</v>
      </c>
      <c r="K862" t="n">
        <v>0</v>
      </c>
      <c r="L862" t="n">
        <v>0</v>
      </c>
      <c r="M862" t="n">
        <v>0</v>
      </c>
      <c r="N862" t="n">
        <v>0</v>
      </c>
      <c r="O862" t="n">
        <v>0</v>
      </c>
      <c r="P862" t="n">
        <v>0</v>
      </c>
      <c r="Q862" t="n">
        <v>0</v>
      </c>
      <c r="R862" s="2" t="inlineStr"/>
    </row>
    <row r="863" ht="15" customHeight="1">
      <c r="A863" t="inlineStr">
        <is>
          <t>A 55517-2023</t>
        </is>
      </c>
      <c r="B863" s="1" t="n">
        <v>45232</v>
      </c>
      <c r="C863" s="1" t="n">
        <v>46051</v>
      </c>
      <c r="D863" t="inlineStr">
        <is>
          <t>VÄRMLANDS LÄN</t>
        </is>
      </c>
      <c r="E863" t="inlineStr">
        <is>
          <t>ÅRJÄNG</t>
        </is>
      </c>
      <c r="G863" t="n">
        <v>1.5</v>
      </c>
      <c r="H863" t="n">
        <v>0</v>
      </c>
      <c r="I863" t="n">
        <v>0</v>
      </c>
      <c r="J863" t="n">
        <v>0</v>
      </c>
      <c r="K863" t="n">
        <v>0</v>
      </c>
      <c r="L863" t="n">
        <v>0</v>
      </c>
      <c r="M863" t="n">
        <v>0</v>
      </c>
      <c r="N863" t="n">
        <v>0</v>
      </c>
      <c r="O863" t="n">
        <v>0</v>
      </c>
      <c r="P863" t="n">
        <v>0</v>
      </c>
      <c r="Q863" t="n">
        <v>0</v>
      </c>
      <c r="R863" s="2" t="inlineStr"/>
    </row>
    <row r="864" ht="15" customHeight="1">
      <c r="A864" t="inlineStr">
        <is>
          <t>A 32950-2024</t>
        </is>
      </c>
      <c r="B864" s="1" t="n">
        <v>45517.36038194445</v>
      </c>
      <c r="C864" s="1" t="n">
        <v>46051</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1760-2026</t>
        </is>
      </c>
      <c r="B865" s="1" t="n">
        <v>46030</v>
      </c>
      <c r="C865" s="1" t="n">
        <v>46051</v>
      </c>
      <c r="D865" t="inlineStr">
        <is>
          <t>VÄRMLANDS LÄN</t>
        </is>
      </c>
      <c r="E865" t="inlineStr">
        <is>
          <t>ÅRJÄNG</t>
        </is>
      </c>
      <c r="F865" t="inlineStr">
        <is>
          <t>Övriga Aktiebolag</t>
        </is>
      </c>
      <c r="G865" t="n">
        <v>2</v>
      </c>
      <c r="H865" t="n">
        <v>0</v>
      </c>
      <c r="I865" t="n">
        <v>0</v>
      </c>
      <c r="J865" t="n">
        <v>0</v>
      </c>
      <c r="K865" t="n">
        <v>0</v>
      </c>
      <c r="L865" t="n">
        <v>0</v>
      </c>
      <c r="M865" t="n">
        <v>0</v>
      </c>
      <c r="N865" t="n">
        <v>0</v>
      </c>
      <c r="O865" t="n">
        <v>0</v>
      </c>
      <c r="P865" t="n">
        <v>0</v>
      </c>
      <c r="Q865" t="n">
        <v>0</v>
      </c>
      <c r="R865" s="2" t="inlineStr"/>
    </row>
    <row r="866" ht="15" customHeight="1">
      <c r="A866" t="inlineStr">
        <is>
          <t>A 63830-2025</t>
        </is>
      </c>
      <c r="B866" s="1" t="n">
        <v>46020</v>
      </c>
      <c r="C866" s="1" t="n">
        <v>46051</v>
      </c>
      <c r="D866" t="inlineStr">
        <is>
          <t>VÄRMLANDS LÄN</t>
        </is>
      </c>
      <c r="E866" t="inlineStr">
        <is>
          <t>ÅRJÄNG</t>
        </is>
      </c>
      <c r="G866" t="n">
        <v>7.3</v>
      </c>
      <c r="H866" t="n">
        <v>0</v>
      </c>
      <c r="I866" t="n">
        <v>0</v>
      </c>
      <c r="J866" t="n">
        <v>0</v>
      </c>
      <c r="K866" t="n">
        <v>0</v>
      </c>
      <c r="L866" t="n">
        <v>0</v>
      </c>
      <c r="M866" t="n">
        <v>0</v>
      </c>
      <c r="N866" t="n">
        <v>0</v>
      </c>
      <c r="O866" t="n">
        <v>0</v>
      </c>
      <c r="P866" t="n">
        <v>0</v>
      </c>
      <c r="Q866" t="n">
        <v>0</v>
      </c>
      <c r="R866" s="2" t="inlineStr"/>
    </row>
    <row r="867" ht="15" customHeight="1">
      <c r="A867" t="inlineStr">
        <is>
          <t>A 15210-2025</t>
        </is>
      </c>
      <c r="B867" s="1" t="n">
        <v>45744</v>
      </c>
      <c r="C867" s="1" t="n">
        <v>46051</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1211-2026</t>
        </is>
      </c>
      <c r="B868" s="1" t="n">
        <v>46030</v>
      </c>
      <c r="C868" s="1" t="n">
        <v>46051</v>
      </c>
      <c r="D868" t="inlineStr">
        <is>
          <t>VÄRMLANDS LÄN</t>
        </is>
      </c>
      <c r="E868" t="inlineStr">
        <is>
          <t>ÅRJÄNG</t>
        </is>
      </c>
      <c r="F868" t="inlineStr">
        <is>
          <t>Övriga Aktiebolag</t>
        </is>
      </c>
      <c r="G868" t="n">
        <v>2.3</v>
      </c>
      <c r="H868" t="n">
        <v>0</v>
      </c>
      <c r="I868" t="n">
        <v>0</v>
      </c>
      <c r="J868" t="n">
        <v>0</v>
      </c>
      <c r="K868" t="n">
        <v>0</v>
      </c>
      <c r="L868" t="n">
        <v>0</v>
      </c>
      <c r="M868" t="n">
        <v>0</v>
      </c>
      <c r="N868" t="n">
        <v>0</v>
      </c>
      <c r="O868" t="n">
        <v>0</v>
      </c>
      <c r="P868" t="n">
        <v>0</v>
      </c>
      <c r="Q868" t="n">
        <v>0</v>
      </c>
      <c r="R868" s="2" t="inlineStr"/>
    </row>
    <row r="869" ht="15" customHeight="1">
      <c r="A869" t="inlineStr">
        <is>
          <t>A 1257-2026</t>
        </is>
      </c>
      <c r="B869" s="1" t="n">
        <v>46031.44703703704</v>
      </c>
      <c r="C869" s="1" t="n">
        <v>46051</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1324-2026</t>
        </is>
      </c>
      <c r="B870" s="1" t="n">
        <v>46031.5496412037</v>
      </c>
      <c r="C870" s="1" t="n">
        <v>46051</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1158-2026</t>
        </is>
      </c>
      <c r="B871" s="1" t="n">
        <v>46031.32700231481</v>
      </c>
      <c r="C871" s="1" t="n">
        <v>46051</v>
      </c>
      <c r="D871" t="inlineStr">
        <is>
          <t>VÄRMLANDS LÄN</t>
        </is>
      </c>
      <c r="E871" t="inlineStr">
        <is>
          <t>ÅRJÄNG</t>
        </is>
      </c>
      <c r="G871" t="n">
        <v>1</v>
      </c>
      <c r="H871" t="n">
        <v>0</v>
      </c>
      <c r="I871" t="n">
        <v>0</v>
      </c>
      <c r="J871" t="n">
        <v>0</v>
      </c>
      <c r="K871" t="n">
        <v>0</v>
      </c>
      <c r="L871" t="n">
        <v>0</v>
      </c>
      <c r="M871" t="n">
        <v>0</v>
      </c>
      <c r="N871" t="n">
        <v>0</v>
      </c>
      <c r="O871" t="n">
        <v>0</v>
      </c>
      <c r="P871" t="n">
        <v>0</v>
      </c>
      <c r="Q871" t="n">
        <v>0</v>
      </c>
      <c r="R871" s="2" t="inlineStr"/>
    </row>
    <row r="872" ht="15" customHeight="1">
      <c r="A872" t="inlineStr">
        <is>
          <t>A 16112-2025</t>
        </is>
      </c>
      <c r="B872" s="1" t="n">
        <v>45750.37240740741</v>
      </c>
      <c r="C872" s="1" t="n">
        <v>46051</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63836-2025</t>
        </is>
      </c>
      <c r="B873" s="1" t="n">
        <v>46020</v>
      </c>
      <c r="C873" s="1" t="n">
        <v>46051</v>
      </c>
      <c r="D873" t="inlineStr">
        <is>
          <t>VÄRMLANDS LÄN</t>
        </is>
      </c>
      <c r="E873" t="inlineStr">
        <is>
          <t>ÅRJÄNG</t>
        </is>
      </c>
      <c r="G873" t="n">
        <v>12.7</v>
      </c>
      <c r="H873" t="n">
        <v>0</v>
      </c>
      <c r="I873" t="n">
        <v>0</v>
      </c>
      <c r="J873" t="n">
        <v>0</v>
      </c>
      <c r="K873" t="n">
        <v>0</v>
      </c>
      <c r="L873" t="n">
        <v>0</v>
      </c>
      <c r="M873" t="n">
        <v>0</v>
      </c>
      <c r="N873" t="n">
        <v>0</v>
      </c>
      <c r="O873" t="n">
        <v>0</v>
      </c>
      <c r="P873" t="n">
        <v>0</v>
      </c>
      <c r="Q873" t="n">
        <v>0</v>
      </c>
      <c r="R873" s="2" t="inlineStr"/>
    </row>
    <row r="874" ht="15" customHeight="1">
      <c r="A874" t="inlineStr">
        <is>
          <t>A 5095-2023</t>
        </is>
      </c>
      <c r="B874" s="1" t="n">
        <v>44953</v>
      </c>
      <c r="C874" s="1" t="n">
        <v>46051</v>
      </c>
      <c r="D874" t="inlineStr">
        <is>
          <t>VÄRMLANDS LÄN</t>
        </is>
      </c>
      <c r="E874" t="inlineStr">
        <is>
          <t>ÅRJÄNG</t>
        </is>
      </c>
      <c r="G874" t="n">
        <v>1.5</v>
      </c>
      <c r="H874" t="n">
        <v>0</v>
      </c>
      <c r="I874" t="n">
        <v>0</v>
      </c>
      <c r="J874" t="n">
        <v>0</v>
      </c>
      <c r="K874" t="n">
        <v>0</v>
      </c>
      <c r="L874" t="n">
        <v>0</v>
      </c>
      <c r="M874" t="n">
        <v>0</v>
      </c>
      <c r="N874" t="n">
        <v>0</v>
      </c>
      <c r="O874" t="n">
        <v>0</v>
      </c>
      <c r="P874" t="n">
        <v>0</v>
      </c>
      <c r="Q874" t="n">
        <v>0</v>
      </c>
      <c r="R874" s="2" t="inlineStr"/>
    </row>
    <row r="875" ht="15" customHeight="1">
      <c r="A875" t="inlineStr">
        <is>
          <t>A 37325-2024</t>
        </is>
      </c>
      <c r="B875" s="1" t="n">
        <v>45540</v>
      </c>
      <c r="C875" s="1" t="n">
        <v>46051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12659-2025</t>
        </is>
      </c>
      <c r="B876" s="1" t="n">
        <v>45733.42350694445</v>
      </c>
      <c r="C876" s="1" t="n">
        <v>46051</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58788-2024</t>
        </is>
      </c>
      <c r="B877" s="1" t="n">
        <v>45635.96372685185</v>
      </c>
      <c r="C877" s="1" t="n">
        <v>46051</v>
      </c>
      <c r="D877" t="inlineStr">
        <is>
          <t>VÄRMLANDS LÄN</t>
        </is>
      </c>
      <c r="E877" t="inlineStr">
        <is>
          <t>ÅRJÄNG</t>
        </is>
      </c>
      <c r="G877" t="n">
        <v>12.4</v>
      </c>
      <c r="H877" t="n">
        <v>0</v>
      </c>
      <c r="I877" t="n">
        <v>0</v>
      </c>
      <c r="J877" t="n">
        <v>0</v>
      </c>
      <c r="K877" t="n">
        <v>0</v>
      </c>
      <c r="L877" t="n">
        <v>0</v>
      </c>
      <c r="M877" t="n">
        <v>0</v>
      </c>
      <c r="N877" t="n">
        <v>0</v>
      </c>
      <c r="O877" t="n">
        <v>0</v>
      </c>
      <c r="P877" t="n">
        <v>0</v>
      </c>
      <c r="Q877" t="n">
        <v>0</v>
      </c>
      <c r="R877" s="2" t="inlineStr"/>
    </row>
    <row r="878" ht="15" customHeight="1">
      <c r="A878" t="inlineStr">
        <is>
          <t>A 60377-2023</t>
        </is>
      </c>
      <c r="B878" s="1" t="n">
        <v>45259.40993055556</v>
      </c>
      <c r="C878" s="1" t="n">
        <v>46051</v>
      </c>
      <c r="D878" t="inlineStr">
        <is>
          <t>VÄRMLANDS LÄN</t>
        </is>
      </c>
      <c r="E878" t="inlineStr">
        <is>
          <t>ÅRJÄNG</t>
        </is>
      </c>
      <c r="G878" t="n">
        <v>3.1</v>
      </c>
      <c r="H878" t="n">
        <v>0</v>
      </c>
      <c r="I878" t="n">
        <v>0</v>
      </c>
      <c r="J878" t="n">
        <v>0</v>
      </c>
      <c r="K878" t="n">
        <v>0</v>
      </c>
      <c r="L878" t="n">
        <v>0</v>
      </c>
      <c r="M878" t="n">
        <v>0</v>
      </c>
      <c r="N878" t="n">
        <v>0</v>
      </c>
      <c r="O878" t="n">
        <v>0</v>
      </c>
      <c r="P878" t="n">
        <v>0</v>
      </c>
      <c r="Q878" t="n">
        <v>0</v>
      </c>
      <c r="R878" s="2" t="inlineStr"/>
    </row>
    <row r="879" ht="15" customHeight="1">
      <c r="A879" t="inlineStr">
        <is>
          <t>A 23334-2023</t>
        </is>
      </c>
      <c r="B879" s="1" t="n">
        <v>45076</v>
      </c>
      <c r="C879" s="1" t="n">
        <v>46051</v>
      </c>
      <c r="D879" t="inlineStr">
        <is>
          <t>VÄRMLANDS LÄN</t>
        </is>
      </c>
      <c r="E879" t="inlineStr">
        <is>
          <t>ÅRJÄNG</t>
        </is>
      </c>
      <c r="G879" t="n">
        <v>0.8</v>
      </c>
      <c r="H879" t="n">
        <v>0</v>
      </c>
      <c r="I879" t="n">
        <v>0</v>
      </c>
      <c r="J879" t="n">
        <v>0</v>
      </c>
      <c r="K879" t="n">
        <v>0</v>
      </c>
      <c r="L879" t="n">
        <v>0</v>
      </c>
      <c r="M879" t="n">
        <v>0</v>
      </c>
      <c r="N879" t="n">
        <v>0</v>
      </c>
      <c r="O879" t="n">
        <v>0</v>
      </c>
      <c r="P879" t="n">
        <v>0</v>
      </c>
      <c r="Q879" t="n">
        <v>0</v>
      </c>
      <c r="R879" s="2" t="inlineStr"/>
    </row>
    <row r="880" ht="15" customHeight="1">
      <c r="A880" t="inlineStr">
        <is>
          <t>A 37353-2024</t>
        </is>
      </c>
      <c r="B880" s="1" t="n">
        <v>45540</v>
      </c>
      <c r="C880" s="1" t="n">
        <v>46051</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54425-2021</t>
        </is>
      </c>
      <c r="B881" s="1" t="n">
        <v>44459</v>
      </c>
      <c r="C881" s="1" t="n">
        <v>46051</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58924-2025</t>
        </is>
      </c>
      <c r="B882" s="1" t="n">
        <v>45986</v>
      </c>
      <c r="C882" s="1" t="n">
        <v>46051</v>
      </c>
      <c r="D882" t="inlineStr">
        <is>
          <t>VÄRMLANDS LÄN</t>
        </is>
      </c>
      <c r="E882" t="inlineStr">
        <is>
          <t>ÅRJÄNG</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60289-2025</t>
        </is>
      </c>
      <c r="B883" s="1" t="n">
        <v>45994</v>
      </c>
      <c r="C883" s="1" t="n">
        <v>46051</v>
      </c>
      <c r="D883" t="inlineStr">
        <is>
          <t>VÄRMLANDS LÄN</t>
        </is>
      </c>
      <c r="E883" t="inlineStr">
        <is>
          <t>ÅRJÄNG</t>
        </is>
      </c>
      <c r="G883" t="n">
        <v>5.4</v>
      </c>
      <c r="H883" t="n">
        <v>0</v>
      </c>
      <c r="I883" t="n">
        <v>0</v>
      </c>
      <c r="J883" t="n">
        <v>0</v>
      </c>
      <c r="K883" t="n">
        <v>0</v>
      </c>
      <c r="L883" t="n">
        <v>0</v>
      </c>
      <c r="M883" t="n">
        <v>0</v>
      </c>
      <c r="N883" t="n">
        <v>0</v>
      </c>
      <c r="O883" t="n">
        <v>0</v>
      </c>
      <c r="P883" t="n">
        <v>0</v>
      </c>
      <c r="Q883" t="n">
        <v>0</v>
      </c>
      <c r="R883" s="2" t="inlineStr"/>
    </row>
    <row r="884" ht="15" customHeight="1">
      <c r="A884" t="inlineStr">
        <is>
          <t>A 60194-2025</t>
        </is>
      </c>
      <c r="B884" s="1" t="n">
        <v>45994</v>
      </c>
      <c r="C884" s="1" t="n">
        <v>46051</v>
      </c>
      <c r="D884" t="inlineStr">
        <is>
          <t>VÄRMLANDS LÄN</t>
        </is>
      </c>
      <c r="E884" t="inlineStr">
        <is>
          <t>ÅRJÄNG</t>
        </is>
      </c>
      <c r="G884" t="n">
        <v>7.3</v>
      </c>
      <c r="H884" t="n">
        <v>0</v>
      </c>
      <c r="I884" t="n">
        <v>0</v>
      </c>
      <c r="J884" t="n">
        <v>0</v>
      </c>
      <c r="K884" t="n">
        <v>0</v>
      </c>
      <c r="L884" t="n">
        <v>0</v>
      </c>
      <c r="M884" t="n">
        <v>0</v>
      </c>
      <c r="N884" t="n">
        <v>0</v>
      </c>
      <c r="O884" t="n">
        <v>0</v>
      </c>
      <c r="P884" t="n">
        <v>0</v>
      </c>
      <c r="Q884" t="n">
        <v>0</v>
      </c>
      <c r="R884" s="2" t="inlineStr"/>
    </row>
    <row r="885" ht="15" customHeight="1">
      <c r="A885" t="inlineStr">
        <is>
          <t>A 60279-2025</t>
        </is>
      </c>
      <c r="B885" s="1" t="n">
        <v>45994</v>
      </c>
      <c r="C885" s="1" t="n">
        <v>46051</v>
      </c>
      <c r="D885" t="inlineStr">
        <is>
          <t>VÄRMLANDS LÄN</t>
        </is>
      </c>
      <c r="E885" t="inlineStr">
        <is>
          <t>ÅRJÄNG</t>
        </is>
      </c>
      <c r="G885" t="n">
        <v>0.6</v>
      </c>
      <c r="H885" t="n">
        <v>0</v>
      </c>
      <c r="I885" t="n">
        <v>0</v>
      </c>
      <c r="J885" t="n">
        <v>0</v>
      </c>
      <c r="K885" t="n">
        <v>0</v>
      </c>
      <c r="L885" t="n">
        <v>0</v>
      </c>
      <c r="M885" t="n">
        <v>0</v>
      </c>
      <c r="N885" t="n">
        <v>0</v>
      </c>
      <c r="O885" t="n">
        <v>0</v>
      </c>
      <c r="P885" t="n">
        <v>0</v>
      </c>
      <c r="Q885" t="n">
        <v>0</v>
      </c>
      <c r="R885" s="2" t="inlineStr"/>
    </row>
    <row r="886" ht="15" customHeight="1">
      <c r="A886" t="inlineStr">
        <is>
          <t>A 60283-2025</t>
        </is>
      </c>
      <c r="B886" s="1" t="n">
        <v>45994</v>
      </c>
      <c r="C886" s="1" t="n">
        <v>46051</v>
      </c>
      <c r="D886" t="inlineStr">
        <is>
          <t>VÄRMLANDS LÄN</t>
        </is>
      </c>
      <c r="E886" t="inlineStr">
        <is>
          <t>ÅRJÄNG</t>
        </is>
      </c>
      <c r="G886" t="n">
        <v>0.6</v>
      </c>
      <c r="H886" t="n">
        <v>0</v>
      </c>
      <c r="I886" t="n">
        <v>0</v>
      </c>
      <c r="J886" t="n">
        <v>0</v>
      </c>
      <c r="K886" t="n">
        <v>0</v>
      </c>
      <c r="L886" t="n">
        <v>0</v>
      </c>
      <c r="M886" t="n">
        <v>0</v>
      </c>
      <c r="N886" t="n">
        <v>0</v>
      </c>
      <c r="O886" t="n">
        <v>0</v>
      </c>
      <c r="P886" t="n">
        <v>0</v>
      </c>
      <c r="Q886" t="n">
        <v>0</v>
      </c>
      <c r="R886" s="2" t="inlineStr"/>
    </row>
    <row r="887" ht="15" customHeight="1">
      <c r="A887" t="inlineStr">
        <is>
          <t>A 42783-2024</t>
        </is>
      </c>
      <c r="B887" s="1" t="n">
        <v>45566</v>
      </c>
      <c r="C887" s="1" t="n">
        <v>46051</v>
      </c>
      <c r="D887" t="inlineStr">
        <is>
          <t>VÄRMLANDS LÄN</t>
        </is>
      </c>
      <c r="E887" t="inlineStr">
        <is>
          <t>ÅRJÄNG</t>
        </is>
      </c>
      <c r="G887" t="n">
        <v>2.1</v>
      </c>
      <c r="H887" t="n">
        <v>0</v>
      </c>
      <c r="I887" t="n">
        <v>0</v>
      </c>
      <c r="J887" t="n">
        <v>0</v>
      </c>
      <c r="K887" t="n">
        <v>0</v>
      </c>
      <c r="L887" t="n">
        <v>0</v>
      </c>
      <c r="M887" t="n">
        <v>0</v>
      </c>
      <c r="N887" t="n">
        <v>0</v>
      </c>
      <c r="O887" t="n">
        <v>0</v>
      </c>
      <c r="P887" t="n">
        <v>0</v>
      </c>
      <c r="Q887" t="n">
        <v>0</v>
      </c>
      <c r="R887" s="2" t="inlineStr"/>
    </row>
    <row r="888" ht="15" customHeight="1">
      <c r="A888" t="inlineStr">
        <is>
          <t>A 36706-2024</t>
        </is>
      </c>
      <c r="B888" s="1" t="n">
        <v>45537</v>
      </c>
      <c r="C888" s="1" t="n">
        <v>46051</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60265-2025</t>
        </is>
      </c>
      <c r="B889" s="1" t="n">
        <v>45994</v>
      </c>
      <c r="C889" s="1" t="n">
        <v>46051</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1936-2026</t>
        </is>
      </c>
      <c r="B890" s="1" t="n">
        <v>46035.58625</v>
      </c>
      <c r="C890" s="1" t="n">
        <v>46051</v>
      </c>
      <c r="D890" t="inlineStr">
        <is>
          <t>VÄRMLANDS LÄN</t>
        </is>
      </c>
      <c r="E890" t="inlineStr">
        <is>
          <t>ÅRJÄNG</t>
        </is>
      </c>
      <c r="G890" t="n">
        <v>1.4</v>
      </c>
      <c r="H890" t="n">
        <v>0</v>
      </c>
      <c r="I890" t="n">
        <v>0</v>
      </c>
      <c r="J890" t="n">
        <v>0</v>
      </c>
      <c r="K890" t="n">
        <v>0</v>
      </c>
      <c r="L890" t="n">
        <v>0</v>
      </c>
      <c r="M890" t="n">
        <v>0</v>
      </c>
      <c r="N890" t="n">
        <v>0</v>
      </c>
      <c r="O890" t="n">
        <v>0</v>
      </c>
      <c r="P890" t="n">
        <v>0</v>
      </c>
      <c r="Q890" t="n">
        <v>0</v>
      </c>
      <c r="R890" s="2" t="inlineStr"/>
    </row>
    <row r="891" ht="15" customHeight="1">
      <c r="A891" t="inlineStr">
        <is>
          <t>A 1636-2026</t>
        </is>
      </c>
      <c r="B891" s="1" t="n">
        <v>46034.49440972223</v>
      </c>
      <c r="C891" s="1" t="n">
        <v>46051</v>
      </c>
      <c r="D891" t="inlineStr">
        <is>
          <t>VÄRMLANDS LÄN</t>
        </is>
      </c>
      <c r="E891" t="inlineStr">
        <is>
          <t>ÅRJÄNG</t>
        </is>
      </c>
      <c r="G891" t="n">
        <v>4.4</v>
      </c>
      <c r="H891" t="n">
        <v>0</v>
      </c>
      <c r="I891" t="n">
        <v>0</v>
      </c>
      <c r="J891" t="n">
        <v>0</v>
      </c>
      <c r="K891" t="n">
        <v>0</v>
      </c>
      <c r="L891" t="n">
        <v>0</v>
      </c>
      <c r="M891" t="n">
        <v>0</v>
      </c>
      <c r="N891" t="n">
        <v>0</v>
      </c>
      <c r="O891" t="n">
        <v>0</v>
      </c>
      <c r="P891" t="n">
        <v>0</v>
      </c>
      <c r="Q891" t="n">
        <v>0</v>
      </c>
      <c r="R891" s="2" t="inlineStr"/>
    </row>
    <row r="892" ht="15" customHeight="1">
      <c r="A892" t="inlineStr">
        <is>
          <t>A 2583-2026</t>
        </is>
      </c>
      <c r="B892" s="1" t="n">
        <v>46037.5405787037</v>
      </c>
      <c r="C892" s="1" t="n">
        <v>46051</v>
      </c>
      <c r="D892" t="inlineStr">
        <is>
          <t>VÄRMLANDS LÄN</t>
        </is>
      </c>
      <c r="E892" t="inlineStr">
        <is>
          <t>ÅRJÄNG</t>
        </is>
      </c>
      <c r="G892" t="n">
        <v>1.6</v>
      </c>
      <c r="H892" t="n">
        <v>0</v>
      </c>
      <c r="I892" t="n">
        <v>0</v>
      </c>
      <c r="J892" t="n">
        <v>0</v>
      </c>
      <c r="K892" t="n">
        <v>0</v>
      </c>
      <c r="L892" t="n">
        <v>0</v>
      </c>
      <c r="M892" t="n">
        <v>0</v>
      </c>
      <c r="N892" t="n">
        <v>0</v>
      </c>
      <c r="O892" t="n">
        <v>0</v>
      </c>
      <c r="P892" t="n">
        <v>0</v>
      </c>
      <c r="Q892" t="n">
        <v>0</v>
      </c>
      <c r="R892" s="2" t="inlineStr"/>
    </row>
    <row r="893" ht="15" customHeight="1">
      <c r="A893" t="inlineStr">
        <is>
          <t>A 60657-2025</t>
        </is>
      </c>
      <c r="B893" s="1" t="n">
        <v>45996</v>
      </c>
      <c r="C893" s="1" t="n">
        <v>46051</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60659-2025</t>
        </is>
      </c>
      <c r="B894" s="1" t="n">
        <v>45996</v>
      </c>
      <c r="C894" s="1" t="n">
        <v>46051</v>
      </c>
      <c r="D894" t="inlineStr">
        <is>
          <t>VÄRMLANDS LÄN</t>
        </is>
      </c>
      <c r="E894" t="inlineStr">
        <is>
          <t>ÅRJÄNG</t>
        </is>
      </c>
      <c r="G894" t="n">
        <v>10.2</v>
      </c>
      <c r="H894" t="n">
        <v>0</v>
      </c>
      <c r="I894" t="n">
        <v>0</v>
      </c>
      <c r="J894" t="n">
        <v>0</v>
      </c>
      <c r="K894" t="n">
        <v>0</v>
      </c>
      <c r="L894" t="n">
        <v>0</v>
      </c>
      <c r="M894" t="n">
        <v>0</v>
      </c>
      <c r="N894" t="n">
        <v>0</v>
      </c>
      <c r="O894" t="n">
        <v>0</v>
      </c>
      <c r="P894" t="n">
        <v>0</v>
      </c>
      <c r="Q894" t="n">
        <v>0</v>
      </c>
      <c r="R894" s="2" t="inlineStr"/>
    </row>
    <row r="895" ht="15" customHeight="1">
      <c r="A895" t="inlineStr">
        <is>
          <t>A 13869-2025</t>
        </is>
      </c>
      <c r="B895" s="1" t="n">
        <v>45737.58268518518</v>
      </c>
      <c r="C895" s="1" t="n">
        <v>46051</v>
      </c>
      <c r="D895" t="inlineStr">
        <is>
          <t>VÄRMLANDS LÄN</t>
        </is>
      </c>
      <c r="E895" t="inlineStr">
        <is>
          <t>ÅRJÄNG</t>
        </is>
      </c>
      <c r="G895" t="n">
        <v>0.5</v>
      </c>
      <c r="H895" t="n">
        <v>0</v>
      </c>
      <c r="I895" t="n">
        <v>0</v>
      </c>
      <c r="J895" t="n">
        <v>0</v>
      </c>
      <c r="K895" t="n">
        <v>0</v>
      </c>
      <c r="L895" t="n">
        <v>0</v>
      </c>
      <c r="M895" t="n">
        <v>0</v>
      </c>
      <c r="N895" t="n">
        <v>0</v>
      </c>
      <c r="O895" t="n">
        <v>0</v>
      </c>
      <c r="P895" t="n">
        <v>0</v>
      </c>
      <c r="Q895" t="n">
        <v>0</v>
      </c>
      <c r="R895" s="2" t="inlineStr"/>
    </row>
    <row r="896" ht="15" customHeight="1">
      <c r="A896" t="inlineStr">
        <is>
          <t>A 2889-2026</t>
        </is>
      </c>
      <c r="B896" s="1" t="n">
        <v>46038.54552083334</v>
      </c>
      <c r="C896" s="1" t="n">
        <v>46051</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2866-2026</t>
        </is>
      </c>
      <c r="B897" s="1" t="n">
        <v>46038.50064814815</v>
      </c>
      <c r="C897" s="1" t="n">
        <v>46051</v>
      </c>
      <c r="D897" t="inlineStr">
        <is>
          <t>VÄRMLANDS LÄN</t>
        </is>
      </c>
      <c r="E897" t="inlineStr">
        <is>
          <t>ÅRJÄNG</t>
        </is>
      </c>
      <c r="G897" t="n">
        <v>1.7</v>
      </c>
      <c r="H897" t="n">
        <v>0</v>
      </c>
      <c r="I897" t="n">
        <v>0</v>
      </c>
      <c r="J897" t="n">
        <v>0</v>
      </c>
      <c r="K897" t="n">
        <v>0</v>
      </c>
      <c r="L897" t="n">
        <v>0</v>
      </c>
      <c r="M897" t="n">
        <v>0</v>
      </c>
      <c r="N897" t="n">
        <v>0</v>
      </c>
      <c r="O897" t="n">
        <v>0</v>
      </c>
      <c r="P897" t="n">
        <v>0</v>
      </c>
      <c r="Q897" t="n">
        <v>0</v>
      </c>
      <c r="R897" s="2" t="inlineStr"/>
    </row>
    <row r="898" ht="15" customHeight="1">
      <c r="A898" t="inlineStr">
        <is>
          <t>A 2994-2026</t>
        </is>
      </c>
      <c r="B898" s="1" t="n">
        <v>46038.64108796296</v>
      </c>
      <c r="C898" s="1" t="n">
        <v>46051</v>
      </c>
      <c r="D898" t="inlineStr">
        <is>
          <t>VÄRMLANDS LÄN</t>
        </is>
      </c>
      <c r="E898" t="inlineStr">
        <is>
          <t>ÅRJÄNG</t>
        </is>
      </c>
      <c r="G898" t="n">
        <v>5.6</v>
      </c>
      <c r="H898" t="n">
        <v>0</v>
      </c>
      <c r="I898" t="n">
        <v>0</v>
      </c>
      <c r="J898" t="n">
        <v>0</v>
      </c>
      <c r="K898" t="n">
        <v>0</v>
      </c>
      <c r="L898" t="n">
        <v>0</v>
      </c>
      <c r="M898" t="n">
        <v>0</v>
      </c>
      <c r="N898" t="n">
        <v>0</v>
      </c>
      <c r="O898" t="n">
        <v>0</v>
      </c>
      <c r="P898" t="n">
        <v>0</v>
      </c>
      <c r="Q898" t="n">
        <v>0</v>
      </c>
      <c r="R898" s="2" t="inlineStr"/>
    </row>
    <row r="899" ht="15" customHeight="1">
      <c r="A899" t="inlineStr">
        <is>
          <t>A 74463-2021</t>
        </is>
      </c>
      <c r="B899" s="1" t="n">
        <v>44560.5255787037</v>
      </c>
      <c r="C899" s="1" t="n">
        <v>46051</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62963-2023</t>
        </is>
      </c>
      <c r="B900" s="1" t="n">
        <v>45271</v>
      </c>
      <c r="C900" s="1" t="n">
        <v>46051</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59479-2024</t>
        </is>
      </c>
      <c r="B901" s="1" t="n">
        <v>45638.52420138889</v>
      </c>
      <c r="C901" s="1" t="n">
        <v>46051</v>
      </c>
      <c r="D901" t="inlineStr">
        <is>
          <t>VÄRMLANDS LÄN</t>
        </is>
      </c>
      <c r="E901" t="inlineStr">
        <is>
          <t>ÅRJÄNG</t>
        </is>
      </c>
      <c r="G901" t="n">
        <v>2.1</v>
      </c>
      <c r="H901" t="n">
        <v>0</v>
      </c>
      <c r="I901" t="n">
        <v>0</v>
      </c>
      <c r="J901" t="n">
        <v>0</v>
      </c>
      <c r="K901" t="n">
        <v>0</v>
      </c>
      <c r="L901" t="n">
        <v>0</v>
      </c>
      <c r="M901" t="n">
        <v>0</v>
      </c>
      <c r="N901" t="n">
        <v>0</v>
      </c>
      <c r="O901" t="n">
        <v>0</v>
      </c>
      <c r="P901" t="n">
        <v>0</v>
      </c>
      <c r="Q901" t="n">
        <v>0</v>
      </c>
      <c r="R901" s="2" t="inlineStr"/>
    </row>
    <row r="902" ht="15" customHeight="1">
      <c r="A902" t="inlineStr">
        <is>
          <t>A 2895-2026</t>
        </is>
      </c>
      <c r="B902" s="1" t="n">
        <v>46038.5502662037</v>
      </c>
      <c r="C902" s="1" t="n">
        <v>46051</v>
      </c>
      <c r="D902" t="inlineStr">
        <is>
          <t>VÄRMLANDS LÄN</t>
        </is>
      </c>
      <c r="E902" t="inlineStr">
        <is>
          <t>ÅRJÄNG</t>
        </is>
      </c>
      <c r="G902" t="n">
        <v>3.2</v>
      </c>
      <c r="H902" t="n">
        <v>0</v>
      </c>
      <c r="I902" t="n">
        <v>0</v>
      </c>
      <c r="J902" t="n">
        <v>0</v>
      </c>
      <c r="K902" t="n">
        <v>0</v>
      </c>
      <c r="L902" t="n">
        <v>0</v>
      </c>
      <c r="M902" t="n">
        <v>0</v>
      </c>
      <c r="N902" t="n">
        <v>0</v>
      </c>
      <c r="O902" t="n">
        <v>0</v>
      </c>
      <c r="P902" t="n">
        <v>0</v>
      </c>
      <c r="Q902" t="n">
        <v>0</v>
      </c>
      <c r="R902" s="2" t="inlineStr"/>
    </row>
    <row r="903" ht="15" customHeight="1">
      <c r="A903" t="inlineStr">
        <is>
          <t>A 34144-2022</t>
        </is>
      </c>
      <c r="B903" s="1" t="n">
        <v>44791.55983796297</v>
      </c>
      <c r="C903" s="1" t="n">
        <v>46051</v>
      </c>
      <c r="D903" t="inlineStr">
        <is>
          <t>VÄRMLANDS LÄN</t>
        </is>
      </c>
      <c r="E903" t="inlineStr">
        <is>
          <t>ÅRJÄNG</t>
        </is>
      </c>
      <c r="G903" t="n">
        <v>1.6</v>
      </c>
      <c r="H903" t="n">
        <v>0</v>
      </c>
      <c r="I903" t="n">
        <v>0</v>
      </c>
      <c r="J903" t="n">
        <v>0</v>
      </c>
      <c r="K903" t="n">
        <v>0</v>
      </c>
      <c r="L903" t="n">
        <v>0</v>
      </c>
      <c r="M903" t="n">
        <v>0</v>
      </c>
      <c r="N903" t="n">
        <v>0</v>
      </c>
      <c r="O903" t="n">
        <v>0</v>
      </c>
      <c r="P903" t="n">
        <v>0</v>
      </c>
      <c r="Q903" t="n">
        <v>0</v>
      </c>
      <c r="R903" s="2" t="inlineStr"/>
    </row>
    <row r="904" ht="15" customHeight="1">
      <c r="A904" t="inlineStr">
        <is>
          <t>A 27045-2021</t>
        </is>
      </c>
      <c r="B904" s="1" t="n">
        <v>44350.43223379629</v>
      </c>
      <c r="C904" s="1" t="n">
        <v>46051</v>
      </c>
      <c r="D904" t="inlineStr">
        <is>
          <t>VÄRMLANDS LÄN</t>
        </is>
      </c>
      <c r="E904" t="inlineStr">
        <is>
          <t>ÅRJÄNG</t>
        </is>
      </c>
      <c r="G904" t="n">
        <v>2</v>
      </c>
      <c r="H904" t="n">
        <v>0</v>
      </c>
      <c r="I904" t="n">
        <v>0</v>
      </c>
      <c r="J904" t="n">
        <v>0</v>
      </c>
      <c r="K904" t="n">
        <v>0</v>
      </c>
      <c r="L904" t="n">
        <v>0</v>
      </c>
      <c r="M904" t="n">
        <v>0</v>
      </c>
      <c r="N904" t="n">
        <v>0</v>
      </c>
      <c r="O904" t="n">
        <v>0</v>
      </c>
      <c r="P904" t="n">
        <v>0</v>
      </c>
      <c r="Q904" t="n">
        <v>0</v>
      </c>
      <c r="R904" s="2" t="inlineStr"/>
    </row>
    <row r="905" ht="15" customHeight="1">
      <c r="A905" t="inlineStr">
        <is>
          <t>A 60658-2025</t>
        </is>
      </c>
      <c r="B905" s="1" t="n">
        <v>45996</v>
      </c>
      <c r="C905" s="1" t="n">
        <v>46051</v>
      </c>
      <c r="D905" t="inlineStr">
        <is>
          <t>VÄRMLANDS LÄN</t>
        </is>
      </c>
      <c r="E905" t="inlineStr">
        <is>
          <t>ÅRJÄNG</t>
        </is>
      </c>
      <c r="G905" t="n">
        <v>10.5</v>
      </c>
      <c r="H905" t="n">
        <v>0</v>
      </c>
      <c r="I905" t="n">
        <v>0</v>
      </c>
      <c r="J905" t="n">
        <v>0</v>
      </c>
      <c r="K905" t="n">
        <v>0</v>
      </c>
      <c r="L905" t="n">
        <v>0</v>
      </c>
      <c r="M905" t="n">
        <v>0</v>
      </c>
      <c r="N905" t="n">
        <v>0</v>
      </c>
      <c r="O905" t="n">
        <v>0</v>
      </c>
      <c r="P905" t="n">
        <v>0</v>
      </c>
      <c r="Q905" t="n">
        <v>0</v>
      </c>
      <c r="R905" s="2" t="inlineStr"/>
    </row>
    <row r="906" ht="15" customHeight="1">
      <c r="A906" t="inlineStr">
        <is>
          <t>A 60663-2025</t>
        </is>
      </c>
      <c r="B906" s="1" t="n">
        <v>45996</v>
      </c>
      <c r="C906" s="1" t="n">
        <v>46051</v>
      </c>
      <c r="D906" t="inlineStr">
        <is>
          <t>VÄRMLANDS LÄN</t>
        </is>
      </c>
      <c r="E906" t="inlineStr">
        <is>
          <t>ÅRJÄNG</t>
        </is>
      </c>
      <c r="G906" t="n">
        <v>1.2</v>
      </c>
      <c r="H906" t="n">
        <v>0</v>
      </c>
      <c r="I906" t="n">
        <v>0</v>
      </c>
      <c r="J906" t="n">
        <v>0</v>
      </c>
      <c r="K906" t="n">
        <v>0</v>
      </c>
      <c r="L906" t="n">
        <v>0</v>
      </c>
      <c r="M906" t="n">
        <v>0</v>
      </c>
      <c r="N906" t="n">
        <v>0</v>
      </c>
      <c r="O906" t="n">
        <v>0</v>
      </c>
      <c r="P906" t="n">
        <v>0</v>
      </c>
      <c r="Q906" t="n">
        <v>0</v>
      </c>
      <c r="R906" s="2" t="inlineStr"/>
    </row>
    <row r="907" ht="15" customHeight="1">
      <c r="A907" t="inlineStr">
        <is>
          <t>A 61814-2024</t>
        </is>
      </c>
      <c r="B907" s="1" t="n">
        <v>45646</v>
      </c>
      <c r="C907" s="1" t="n">
        <v>46051</v>
      </c>
      <c r="D907" t="inlineStr">
        <is>
          <t>VÄRMLANDS LÄN</t>
        </is>
      </c>
      <c r="E907" t="inlineStr">
        <is>
          <t>ÅRJÄNG</t>
        </is>
      </c>
      <c r="G907" t="n">
        <v>5.3</v>
      </c>
      <c r="H907" t="n">
        <v>0</v>
      </c>
      <c r="I907" t="n">
        <v>0</v>
      </c>
      <c r="J907" t="n">
        <v>0</v>
      </c>
      <c r="K907" t="n">
        <v>0</v>
      </c>
      <c r="L907" t="n">
        <v>0</v>
      </c>
      <c r="M907" t="n">
        <v>0</v>
      </c>
      <c r="N907" t="n">
        <v>0</v>
      </c>
      <c r="O907" t="n">
        <v>0</v>
      </c>
      <c r="P907" t="n">
        <v>0</v>
      </c>
      <c r="Q907" t="n">
        <v>0</v>
      </c>
      <c r="R907" s="2" t="inlineStr"/>
    </row>
    <row r="908" ht="15" customHeight="1">
      <c r="A908" t="inlineStr">
        <is>
          <t>A 15575-2025</t>
        </is>
      </c>
      <c r="B908" s="1" t="n">
        <v>45747</v>
      </c>
      <c r="C908" s="1" t="n">
        <v>46051</v>
      </c>
      <c r="D908" t="inlineStr">
        <is>
          <t>VÄRMLANDS LÄN</t>
        </is>
      </c>
      <c r="E908" t="inlineStr">
        <is>
          <t>ÅRJÄNG</t>
        </is>
      </c>
      <c r="G908" t="n">
        <v>0.7</v>
      </c>
      <c r="H908" t="n">
        <v>0</v>
      </c>
      <c r="I908" t="n">
        <v>0</v>
      </c>
      <c r="J908" t="n">
        <v>0</v>
      </c>
      <c r="K908" t="n">
        <v>0</v>
      </c>
      <c r="L908" t="n">
        <v>0</v>
      </c>
      <c r="M908" t="n">
        <v>0</v>
      </c>
      <c r="N908" t="n">
        <v>0</v>
      </c>
      <c r="O908" t="n">
        <v>0</v>
      </c>
      <c r="P908" t="n">
        <v>0</v>
      </c>
      <c r="Q908" t="n">
        <v>0</v>
      </c>
      <c r="R908" s="2" t="inlineStr"/>
    </row>
    <row r="909" ht="15" customHeight="1">
      <c r="A909" t="inlineStr">
        <is>
          <t>A 15577-2025</t>
        </is>
      </c>
      <c r="B909" s="1" t="n">
        <v>45747</v>
      </c>
      <c r="C909" s="1" t="n">
        <v>46051</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2885-2026</t>
        </is>
      </c>
      <c r="B910" s="1" t="n">
        <v>46038.53978009259</v>
      </c>
      <c r="C910" s="1" t="n">
        <v>46051</v>
      </c>
      <c r="D910" t="inlineStr">
        <is>
          <t>VÄRMLANDS LÄN</t>
        </is>
      </c>
      <c r="E910" t="inlineStr">
        <is>
          <t>ÅRJÄNG</t>
        </is>
      </c>
      <c r="G910" t="n">
        <v>8.1</v>
      </c>
      <c r="H910" t="n">
        <v>0</v>
      </c>
      <c r="I910" t="n">
        <v>0</v>
      </c>
      <c r="J910" t="n">
        <v>0</v>
      </c>
      <c r="K910" t="n">
        <v>0</v>
      </c>
      <c r="L910" t="n">
        <v>0</v>
      </c>
      <c r="M910" t="n">
        <v>0</v>
      </c>
      <c r="N910" t="n">
        <v>0</v>
      </c>
      <c r="O910" t="n">
        <v>0</v>
      </c>
      <c r="P910" t="n">
        <v>0</v>
      </c>
      <c r="Q910" t="n">
        <v>0</v>
      </c>
      <c r="R910" s="2" t="inlineStr"/>
    </row>
    <row r="911" ht="15" customHeight="1">
      <c r="A911" t="inlineStr">
        <is>
          <t>A 23871-2023</t>
        </is>
      </c>
      <c r="B911" s="1" t="n">
        <v>45078</v>
      </c>
      <c r="C911" s="1" t="n">
        <v>46051</v>
      </c>
      <c r="D911" t="inlineStr">
        <is>
          <t>VÄRMLANDS LÄN</t>
        </is>
      </c>
      <c r="E911" t="inlineStr">
        <is>
          <t>ÅRJÄNG</t>
        </is>
      </c>
      <c r="G911" t="n">
        <v>4</v>
      </c>
      <c r="H911" t="n">
        <v>0</v>
      </c>
      <c r="I911" t="n">
        <v>0</v>
      </c>
      <c r="J911" t="n">
        <v>0</v>
      </c>
      <c r="K911" t="n">
        <v>0</v>
      </c>
      <c r="L911" t="n">
        <v>0</v>
      </c>
      <c r="M911" t="n">
        <v>0</v>
      </c>
      <c r="N911" t="n">
        <v>0</v>
      </c>
      <c r="O911" t="n">
        <v>0</v>
      </c>
      <c r="P911" t="n">
        <v>0</v>
      </c>
      <c r="Q911" t="n">
        <v>0</v>
      </c>
      <c r="R911" s="2" t="inlineStr"/>
    </row>
    <row r="912" ht="15" customHeight="1">
      <c r="A912" t="inlineStr">
        <is>
          <t>A 2572-2026</t>
        </is>
      </c>
      <c r="B912" s="1" t="n">
        <v>46037.50928240741</v>
      </c>
      <c r="C912" s="1" t="n">
        <v>46051</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15237-2025</t>
        </is>
      </c>
      <c r="B913" s="1" t="n">
        <v>45744</v>
      </c>
      <c r="C913" s="1" t="n">
        <v>46051</v>
      </c>
      <c r="D913" t="inlineStr">
        <is>
          <t>VÄRMLANDS LÄN</t>
        </is>
      </c>
      <c r="E913" t="inlineStr">
        <is>
          <t>ÅRJÄNG</t>
        </is>
      </c>
      <c r="G913" t="n">
        <v>29.5</v>
      </c>
      <c r="H913" t="n">
        <v>0</v>
      </c>
      <c r="I913" t="n">
        <v>0</v>
      </c>
      <c r="J913" t="n">
        <v>0</v>
      </c>
      <c r="K913" t="n">
        <v>0</v>
      </c>
      <c r="L913" t="n">
        <v>0</v>
      </c>
      <c r="M913" t="n">
        <v>0</v>
      </c>
      <c r="N913" t="n">
        <v>0</v>
      </c>
      <c r="O913" t="n">
        <v>0</v>
      </c>
      <c r="P913" t="n">
        <v>0</v>
      </c>
      <c r="Q913" t="n">
        <v>0</v>
      </c>
      <c r="R913" s="2" t="inlineStr"/>
    </row>
    <row r="914" ht="15" customHeight="1">
      <c r="A914" t="inlineStr">
        <is>
          <t>A 61050-2025</t>
        </is>
      </c>
      <c r="B914" s="1" t="n">
        <v>46000.32225694445</v>
      </c>
      <c r="C914" s="1" t="n">
        <v>46051</v>
      </c>
      <c r="D914" t="inlineStr">
        <is>
          <t>VÄRMLANDS LÄN</t>
        </is>
      </c>
      <c r="E914" t="inlineStr">
        <is>
          <t>ÅRJÄNG</t>
        </is>
      </c>
      <c r="G914" t="n">
        <v>0.7</v>
      </c>
      <c r="H914" t="n">
        <v>0</v>
      </c>
      <c r="I914" t="n">
        <v>0</v>
      </c>
      <c r="J914" t="n">
        <v>0</v>
      </c>
      <c r="K914" t="n">
        <v>0</v>
      </c>
      <c r="L914" t="n">
        <v>0</v>
      </c>
      <c r="M914" t="n">
        <v>0</v>
      </c>
      <c r="N914" t="n">
        <v>0</v>
      </c>
      <c r="O914" t="n">
        <v>0</v>
      </c>
      <c r="P914" t="n">
        <v>0</v>
      </c>
      <c r="Q914" t="n">
        <v>0</v>
      </c>
      <c r="R914" s="2" t="inlineStr"/>
    </row>
    <row r="915" ht="15" customHeight="1">
      <c r="A915" t="inlineStr">
        <is>
          <t>A 3348-2026</t>
        </is>
      </c>
      <c r="B915" s="1" t="n">
        <v>46041.93003472222</v>
      </c>
      <c r="C915" s="1" t="n">
        <v>46051</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61097-2025</t>
        </is>
      </c>
      <c r="B916" s="1" t="n">
        <v>46000.43695601852</v>
      </c>
      <c r="C916" s="1" t="n">
        <v>46051</v>
      </c>
      <c r="D916" t="inlineStr">
        <is>
          <t>VÄRMLANDS LÄN</t>
        </is>
      </c>
      <c r="E916" t="inlineStr">
        <is>
          <t>ÅRJÄNG</t>
        </is>
      </c>
      <c r="G916" t="n">
        <v>2</v>
      </c>
      <c r="H916" t="n">
        <v>0</v>
      </c>
      <c r="I916" t="n">
        <v>0</v>
      </c>
      <c r="J916" t="n">
        <v>0</v>
      </c>
      <c r="K916" t="n">
        <v>0</v>
      </c>
      <c r="L916" t="n">
        <v>0</v>
      </c>
      <c r="M916" t="n">
        <v>0</v>
      </c>
      <c r="N916" t="n">
        <v>0</v>
      </c>
      <c r="O916" t="n">
        <v>0</v>
      </c>
      <c r="P916" t="n">
        <v>0</v>
      </c>
      <c r="Q916" t="n">
        <v>0</v>
      </c>
      <c r="R916" s="2" t="inlineStr"/>
    </row>
    <row r="917" ht="15" customHeight="1">
      <c r="A917" t="inlineStr">
        <is>
          <t>A 61126-2025</t>
        </is>
      </c>
      <c r="B917" s="1" t="n">
        <v>46000.48131944444</v>
      </c>
      <c r="C917" s="1" t="n">
        <v>46051</v>
      </c>
      <c r="D917" t="inlineStr">
        <is>
          <t>VÄRMLANDS LÄN</t>
        </is>
      </c>
      <c r="E917" t="inlineStr">
        <is>
          <t>ÅRJÄNG</t>
        </is>
      </c>
      <c r="G917" t="n">
        <v>2.7</v>
      </c>
      <c r="H917" t="n">
        <v>0</v>
      </c>
      <c r="I917" t="n">
        <v>0</v>
      </c>
      <c r="J917" t="n">
        <v>0</v>
      </c>
      <c r="K917" t="n">
        <v>0</v>
      </c>
      <c r="L917" t="n">
        <v>0</v>
      </c>
      <c r="M917" t="n">
        <v>0</v>
      </c>
      <c r="N917" t="n">
        <v>0</v>
      </c>
      <c r="O917" t="n">
        <v>0</v>
      </c>
      <c r="P917" t="n">
        <v>0</v>
      </c>
      <c r="Q917" t="n">
        <v>0</v>
      </c>
      <c r="R917" s="2" t="inlineStr"/>
    </row>
    <row r="918" ht="15" customHeight="1">
      <c r="A918" t="inlineStr">
        <is>
          <t>A 6354-2024</t>
        </is>
      </c>
      <c r="B918" s="1" t="n">
        <v>45338.46987268519</v>
      </c>
      <c r="C918" s="1" t="n">
        <v>46051</v>
      </c>
      <c r="D918" t="inlineStr">
        <is>
          <t>VÄRMLANDS LÄN</t>
        </is>
      </c>
      <c r="E918" t="inlineStr">
        <is>
          <t>ÅRJÄNG</t>
        </is>
      </c>
      <c r="F918" t="inlineStr">
        <is>
          <t>Bergvik skog väst AB</t>
        </is>
      </c>
      <c r="G918" t="n">
        <v>0.5</v>
      </c>
      <c r="H918" t="n">
        <v>0</v>
      </c>
      <c r="I918" t="n">
        <v>0</v>
      </c>
      <c r="J918" t="n">
        <v>0</v>
      </c>
      <c r="K918" t="n">
        <v>0</v>
      </c>
      <c r="L918" t="n">
        <v>0</v>
      </c>
      <c r="M918" t="n">
        <v>0</v>
      </c>
      <c r="N918" t="n">
        <v>0</v>
      </c>
      <c r="O918" t="n">
        <v>0</v>
      </c>
      <c r="P918" t="n">
        <v>0</v>
      </c>
      <c r="Q918" t="n">
        <v>0</v>
      </c>
      <c r="R918" s="2" t="inlineStr"/>
    </row>
    <row r="919" ht="15" customHeight="1">
      <c r="A919" t="inlineStr">
        <is>
          <t>A 60801-2025</t>
        </is>
      </c>
      <c r="B919" s="1" t="n">
        <v>45999.43131944445</v>
      </c>
      <c r="C919" s="1" t="n">
        <v>46051</v>
      </c>
      <c r="D919" t="inlineStr">
        <is>
          <t>VÄRMLANDS LÄN</t>
        </is>
      </c>
      <c r="E919" t="inlineStr">
        <is>
          <t>ÅRJÄNG</t>
        </is>
      </c>
      <c r="G919" t="n">
        <v>3.8</v>
      </c>
      <c r="H919" t="n">
        <v>0</v>
      </c>
      <c r="I919" t="n">
        <v>0</v>
      </c>
      <c r="J919" t="n">
        <v>0</v>
      </c>
      <c r="K919" t="n">
        <v>0</v>
      </c>
      <c r="L919" t="n">
        <v>0</v>
      </c>
      <c r="M919" t="n">
        <v>0</v>
      </c>
      <c r="N919" t="n">
        <v>0</v>
      </c>
      <c r="O919" t="n">
        <v>0</v>
      </c>
      <c r="P919" t="n">
        <v>0</v>
      </c>
      <c r="Q919" t="n">
        <v>0</v>
      </c>
      <c r="R919" s="2" t="inlineStr"/>
    </row>
    <row r="920" ht="15" customHeight="1">
      <c r="A920" t="inlineStr">
        <is>
          <t>A 60826-2025</t>
        </is>
      </c>
      <c r="B920" s="1" t="n">
        <v>45999.46019675926</v>
      </c>
      <c r="C920" s="1" t="n">
        <v>46051</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3424-2026</t>
        </is>
      </c>
      <c r="B921" s="1" t="n">
        <v>46042.44061342593</v>
      </c>
      <c r="C921" s="1" t="n">
        <v>46051</v>
      </c>
      <c r="D921" t="inlineStr">
        <is>
          <t>VÄRMLANDS LÄN</t>
        </is>
      </c>
      <c r="E921" t="inlineStr">
        <is>
          <t>ÅRJÄNG</t>
        </is>
      </c>
      <c r="G921" t="n">
        <v>1.7</v>
      </c>
      <c r="H921" t="n">
        <v>0</v>
      </c>
      <c r="I921" t="n">
        <v>0</v>
      </c>
      <c r="J921" t="n">
        <v>0</v>
      </c>
      <c r="K921" t="n">
        <v>0</v>
      </c>
      <c r="L921" t="n">
        <v>0</v>
      </c>
      <c r="M921" t="n">
        <v>0</v>
      </c>
      <c r="N921" t="n">
        <v>0</v>
      </c>
      <c r="O921" t="n">
        <v>0</v>
      </c>
      <c r="P921" t="n">
        <v>0</v>
      </c>
      <c r="Q921" t="n">
        <v>0</v>
      </c>
      <c r="R921" s="2" t="inlineStr"/>
    </row>
    <row r="922" ht="15" customHeight="1">
      <c r="A922" t="inlineStr">
        <is>
          <t>A 21519-2024</t>
        </is>
      </c>
      <c r="B922" s="1" t="n">
        <v>45441</v>
      </c>
      <c r="C922" s="1" t="n">
        <v>46051</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11776-2025</t>
        </is>
      </c>
      <c r="B923" s="1" t="n">
        <v>45727.70334490741</v>
      </c>
      <c r="C923" s="1" t="n">
        <v>46051</v>
      </c>
      <c r="D923" t="inlineStr">
        <is>
          <t>VÄRMLANDS LÄN</t>
        </is>
      </c>
      <c r="E923" t="inlineStr">
        <is>
          <t>ÅRJÄNG</t>
        </is>
      </c>
      <c r="G923" t="n">
        <v>7.2</v>
      </c>
      <c r="H923" t="n">
        <v>0</v>
      </c>
      <c r="I923" t="n">
        <v>0</v>
      </c>
      <c r="J923" t="n">
        <v>0</v>
      </c>
      <c r="K923" t="n">
        <v>0</v>
      </c>
      <c r="L923" t="n">
        <v>0</v>
      </c>
      <c r="M923" t="n">
        <v>0</v>
      </c>
      <c r="N923" t="n">
        <v>0</v>
      </c>
      <c r="O923" t="n">
        <v>0</v>
      </c>
      <c r="P923" t="n">
        <v>0</v>
      </c>
      <c r="Q923" t="n">
        <v>0</v>
      </c>
      <c r="R923" s="2" t="inlineStr"/>
    </row>
    <row r="924" ht="15" customHeight="1">
      <c r="A924" t="inlineStr">
        <is>
          <t>A 61113-2025</t>
        </is>
      </c>
      <c r="B924" s="1" t="n">
        <v>45999</v>
      </c>
      <c r="C924" s="1" t="n">
        <v>46051</v>
      </c>
      <c r="D924" t="inlineStr">
        <is>
          <t>VÄRMLANDS LÄN</t>
        </is>
      </c>
      <c r="E924" t="inlineStr">
        <is>
          <t>ÅRJÄNG</t>
        </is>
      </c>
      <c r="G924" t="n">
        <v>7.6</v>
      </c>
      <c r="H924" t="n">
        <v>0</v>
      </c>
      <c r="I924" t="n">
        <v>0</v>
      </c>
      <c r="J924" t="n">
        <v>0</v>
      </c>
      <c r="K924" t="n">
        <v>0</v>
      </c>
      <c r="L924" t="n">
        <v>0</v>
      </c>
      <c r="M924" t="n">
        <v>0</v>
      </c>
      <c r="N924" t="n">
        <v>0</v>
      </c>
      <c r="O924" t="n">
        <v>0</v>
      </c>
      <c r="P924" t="n">
        <v>0</v>
      </c>
      <c r="Q924" t="n">
        <v>0</v>
      </c>
      <c r="R924" s="2" t="inlineStr"/>
    </row>
    <row r="925" ht="15" customHeight="1">
      <c r="A925" t="inlineStr">
        <is>
          <t>A 61116-2025</t>
        </is>
      </c>
      <c r="B925" s="1" t="n">
        <v>45999</v>
      </c>
      <c r="C925" s="1" t="n">
        <v>46051</v>
      </c>
      <c r="D925" t="inlineStr">
        <is>
          <t>VÄRMLANDS LÄN</t>
        </is>
      </c>
      <c r="E925" t="inlineStr">
        <is>
          <t>ÅRJÄNG</t>
        </is>
      </c>
      <c r="G925" t="n">
        <v>4.4</v>
      </c>
      <c r="H925" t="n">
        <v>0</v>
      </c>
      <c r="I925" t="n">
        <v>0</v>
      </c>
      <c r="J925" t="n">
        <v>0</v>
      </c>
      <c r="K925" t="n">
        <v>0</v>
      </c>
      <c r="L925" t="n">
        <v>0</v>
      </c>
      <c r="M925" t="n">
        <v>0</v>
      </c>
      <c r="N925" t="n">
        <v>0</v>
      </c>
      <c r="O925" t="n">
        <v>0</v>
      </c>
      <c r="P925" t="n">
        <v>0</v>
      </c>
      <c r="Q925" t="n">
        <v>0</v>
      </c>
      <c r="R925" s="2" t="inlineStr"/>
    </row>
    <row r="926" ht="15" customHeight="1">
      <c r="A926" t="inlineStr">
        <is>
          <t>A 61006-2025</t>
        </is>
      </c>
      <c r="B926" s="1" t="n">
        <v>45997</v>
      </c>
      <c r="C926" s="1" t="n">
        <v>46051</v>
      </c>
      <c r="D926" t="inlineStr">
        <is>
          <t>VÄRMLANDS LÄN</t>
        </is>
      </c>
      <c r="E926" t="inlineStr">
        <is>
          <t>ÅRJÄNG</t>
        </is>
      </c>
      <c r="F926" t="inlineStr">
        <is>
          <t>Övriga Aktiebolag</t>
        </is>
      </c>
      <c r="G926" t="n">
        <v>3.7</v>
      </c>
      <c r="H926" t="n">
        <v>0</v>
      </c>
      <c r="I926" t="n">
        <v>0</v>
      </c>
      <c r="J926" t="n">
        <v>0</v>
      </c>
      <c r="K926" t="n">
        <v>0</v>
      </c>
      <c r="L926" t="n">
        <v>0</v>
      </c>
      <c r="M926" t="n">
        <v>0</v>
      </c>
      <c r="N926" t="n">
        <v>0</v>
      </c>
      <c r="O926" t="n">
        <v>0</v>
      </c>
      <c r="P926" t="n">
        <v>0</v>
      </c>
      <c r="Q926" t="n">
        <v>0</v>
      </c>
      <c r="R926" s="2" t="inlineStr"/>
    </row>
    <row r="927" ht="15" customHeight="1">
      <c r="A927" t="inlineStr">
        <is>
          <t>A 61053-2025</t>
        </is>
      </c>
      <c r="B927" s="1" t="n">
        <v>46000.32866898148</v>
      </c>
      <c r="C927" s="1" t="n">
        <v>46051</v>
      </c>
      <c r="D927" t="inlineStr">
        <is>
          <t>VÄRMLANDS LÄN</t>
        </is>
      </c>
      <c r="E927" t="inlineStr">
        <is>
          <t>ÅRJÄNG</t>
        </is>
      </c>
      <c r="G927" t="n">
        <v>4.4</v>
      </c>
      <c r="H927" t="n">
        <v>0</v>
      </c>
      <c r="I927" t="n">
        <v>0</v>
      </c>
      <c r="J927" t="n">
        <v>0</v>
      </c>
      <c r="K927" t="n">
        <v>0</v>
      </c>
      <c r="L927" t="n">
        <v>0</v>
      </c>
      <c r="M927" t="n">
        <v>0</v>
      </c>
      <c r="N927" t="n">
        <v>0</v>
      </c>
      <c r="O927" t="n">
        <v>0</v>
      </c>
      <c r="P927" t="n">
        <v>0</v>
      </c>
      <c r="Q927" t="n">
        <v>0</v>
      </c>
      <c r="R927" s="2" t="inlineStr"/>
    </row>
    <row r="928" ht="15" customHeight="1">
      <c r="A928" t="inlineStr">
        <is>
          <t>A 61263-2025</t>
        </is>
      </c>
      <c r="B928" s="1" t="n">
        <v>46000</v>
      </c>
      <c r="C928" s="1" t="n">
        <v>46051</v>
      </c>
      <c r="D928" t="inlineStr">
        <is>
          <t>VÄRMLANDS LÄN</t>
        </is>
      </c>
      <c r="E928" t="inlineStr">
        <is>
          <t>ÅRJÄNG</t>
        </is>
      </c>
      <c r="G928" t="n">
        <v>3.7</v>
      </c>
      <c r="H928" t="n">
        <v>0</v>
      </c>
      <c r="I928" t="n">
        <v>0</v>
      </c>
      <c r="J928" t="n">
        <v>0</v>
      </c>
      <c r="K928" t="n">
        <v>0</v>
      </c>
      <c r="L928" t="n">
        <v>0</v>
      </c>
      <c r="M928" t="n">
        <v>0</v>
      </c>
      <c r="N928" t="n">
        <v>0</v>
      </c>
      <c r="O928" t="n">
        <v>0</v>
      </c>
      <c r="P928" t="n">
        <v>0</v>
      </c>
      <c r="Q928" t="n">
        <v>0</v>
      </c>
      <c r="R928" s="2" t="inlineStr"/>
    </row>
    <row r="929" ht="15" customHeight="1">
      <c r="A929" t="inlineStr">
        <is>
          <t>A 20337-2023</t>
        </is>
      </c>
      <c r="B929" s="1" t="n">
        <v>45056.48157407407</v>
      </c>
      <c r="C929" s="1" t="n">
        <v>46051</v>
      </c>
      <c r="D929" t="inlineStr">
        <is>
          <t>VÄRMLANDS LÄN</t>
        </is>
      </c>
      <c r="E929" t="inlineStr">
        <is>
          <t>ÅRJÄNG</t>
        </is>
      </c>
      <c r="G929" t="n">
        <v>3.1</v>
      </c>
      <c r="H929" t="n">
        <v>0</v>
      </c>
      <c r="I929" t="n">
        <v>0</v>
      </c>
      <c r="J929" t="n">
        <v>0</v>
      </c>
      <c r="K929" t="n">
        <v>0</v>
      </c>
      <c r="L929" t="n">
        <v>0</v>
      </c>
      <c r="M929" t="n">
        <v>0</v>
      </c>
      <c r="N929" t="n">
        <v>0</v>
      </c>
      <c r="O929" t="n">
        <v>0</v>
      </c>
      <c r="P929" t="n">
        <v>0</v>
      </c>
      <c r="Q929" t="n">
        <v>0</v>
      </c>
      <c r="R929" s="2" t="inlineStr"/>
    </row>
    <row r="930" ht="15" customHeight="1">
      <c r="A930" t="inlineStr">
        <is>
          <t>A 42045-2024</t>
        </is>
      </c>
      <c r="B930" s="1" t="n">
        <v>45561</v>
      </c>
      <c r="C930" s="1" t="n">
        <v>46051</v>
      </c>
      <c r="D930" t="inlineStr">
        <is>
          <t>VÄRMLANDS LÄN</t>
        </is>
      </c>
      <c r="E930" t="inlineStr">
        <is>
          <t>ÅRJÄNG</t>
        </is>
      </c>
      <c r="G930" t="n">
        <v>1.9</v>
      </c>
      <c r="H930" t="n">
        <v>0</v>
      </c>
      <c r="I930" t="n">
        <v>0</v>
      </c>
      <c r="J930" t="n">
        <v>0</v>
      </c>
      <c r="K930" t="n">
        <v>0</v>
      </c>
      <c r="L930" t="n">
        <v>0</v>
      </c>
      <c r="M930" t="n">
        <v>0</v>
      </c>
      <c r="N930" t="n">
        <v>0</v>
      </c>
      <c r="O930" t="n">
        <v>0</v>
      </c>
      <c r="P930" t="n">
        <v>0</v>
      </c>
      <c r="Q930" t="n">
        <v>0</v>
      </c>
      <c r="R930" s="2" t="inlineStr"/>
    </row>
    <row r="931" ht="15" customHeight="1">
      <c r="A931" t="inlineStr">
        <is>
          <t>A 25495-2024</t>
        </is>
      </c>
      <c r="B931" s="1" t="n">
        <v>45463</v>
      </c>
      <c r="C931" s="1" t="n">
        <v>46051</v>
      </c>
      <c r="D931" t="inlineStr">
        <is>
          <t>VÄRMLANDS LÄN</t>
        </is>
      </c>
      <c r="E931" t="inlineStr">
        <is>
          <t>ÅRJÄNG</t>
        </is>
      </c>
      <c r="F931" t="inlineStr">
        <is>
          <t>Kyrkan</t>
        </is>
      </c>
      <c r="G931" t="n">
        <v>9.800000000000001</v>
      </c>
      <c r="H931" t="n">
        <v>0</v>
      </c>
      <c r="I931" t="n">
        <v>0</v>
      </c>
      <c r="J931" t="n">
        <v>0</v>
      </c>
      <c r="K931" t="n">
        <v>0</v>
      </c>
      <c r="L931" t="n">
        <v>0</v>
      </c>
      <c r="M931" t="n">
        <v>0</v>
      </c>
      <c r="N931" t="n">
        <v>0</v>
      </c>
      <c r="O931" t="n">
        <v>0</v>
      </c>
      <c r="P931" t="n">
        <v>0</v>
      </c>
      <c r="Q931" t="n">
        <v>0</v>
      </c>
      <c r="R931" s="2" t="inlineStr"/>
    </row>
    <row r="932" ht="15" customHeight="1">
      <c r="A932" t="inlineStr">
        <is>
          <t>A 11793-2023</t>
        </is>
      </c>
      <c r="B932" s="1" t="n">
        <v>44993</v>
      </c>
      <c r="C932" s="1" t="n">
        <v>46051</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14788-2025</t>
        </is>
      </c>
      <c r="B933" s="1" t="n">
        <v>45742.78112268518</v>
      </c>
      <c r="C933" s="1" t="n">
        <v>46051</v>
      </c>
      <c r="D933" t="inlineStr">
        <is>
          <t>VÄRMLANDS LÄN</t>
        </is>
      </c>
      <c r="E933" t="inlineStr">
        <is>
          <t>ÅRJÄNG</t>
        </is>
      </c>
      <c r="G933" t="n">
        <v>2.5</v>
      </c>
      <c r="H933" t="n">
        <v>0</v>
      </c>
      <c r="I933" t="n">
        <v>0</v>
      </c>
      <c r="J933" t="n">
        <v>0</v>
      </c>
      <c r="K933" t="n">
        <v>0</v>
      </c>
      <c r="L933" t="n">
        <v>0</v>
      </c>
      <c r="M933" t="n">
        <v>0</v>
      </c>
      <c r="N933" t="n">
        <v>0</v>
      </c>
      <c r="O933" t="n">
        <v>0</v>
      </c>
      <c r="P933" t="n">
        <v>0</v>
      </c>
      <c r="Q933" t="n">
        <v>0</v>
      </c>
      <c r="R933" s="2" t="inlineStr"/>
    </row>
    <row r="934" ht="15" customHeight="1">
      <c r="A934" t="inlineStr">
        <is>
          <t>A 22032-2023</t>
        </is>
      </c>
      <c r="B934" s="1" t="n">
        <v>45069.35378472223</v>
      </c>
      <c r="C934" s="1" t="n">
        <v>46051</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32367-2023</t>
        </is>
      </c>
      <c r="B935" s="1" t="n">
        <v>45120.57167824074</v>
      </c>
      <c r="C935" s="1" t="n">
        <v>46051</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32373-2023</t>
        </is>
      </c>
      <c r="B936" s="1" t="n">
        <v>45120.58025462963</v>
      </c>
      <c r="C936" s="1" t="n">
        <v>46051</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56682-2021</t>
        </is>
      </c>
      <c r="B937" s="1" t="n">
        <v>44481</v>
      </c>
      <c r="C937" s="1" t="n">
        <v>46051</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3968-2025</t>
        </is>
      </c>
      <c r="B938" s="1" t="n">
        <v>45684.51925925926</v>
      </c>
      <c r="C938" s="1" t="n">
        <v>46051</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3772-2026</t>
        </is>
      </c>
      <c r="B939" s="1" t="n">
        <v>46043.56302083333</v>
      </c>
      <c r="C939" s="1" t="n">
        <v>46051</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52773-2022</t>
        </is>
      </c>
      <c r="B940" s="1" t="n">
        <v>44875.35628472222</v>
      </c>
      <c r="C940" s="1" t="n">
        <v>46051</v>
      </c>
      <c r="D940" t="inlineStr">
        <is>
          <t>VÄRMLANDS LÄN</t>
        </is>
      </c>
      <c r="E940" t="inlineStr">
        <is>
          <t>ÅRJÄNG</t>
        </is>
      </c>
      <c r="G940" t="n">
        <v>4.1</v>
      </c>
      <c r="H940" t="n">
        <v>0</v>
      </c>
      <c r="I940" t="n">
        <v>0</v>
      </c>
      <c r="J940" t="n">
        <v>0</v>
      </c>
      <c r="K940" t="n">
        <v>0</v>
      </c>
      <c r="L940" t="n">
        <v>0</v>
      </c>
      <c r="M940" t="n">
        <v>0</v>
      </c>
      <c r="N940" t="n">
        <v>0</v>
      </c>
      <c r="O940" t="n">
        <v>0</v>
      </c>
      <c r="P940" t="n">
        <v>0</v>
      </c>
      <c r="Q940" t="n">
        <v>0</v>
      </c>
      <c r="R940" s="2" t="inlineStr"/>
    </row>
    <row r="941" ht="15" customHeight="1">
      <c r="A941" t="inlineStr">
        <is>
          <t>A 61548-2025</t>
        </is>
      </c>
      <c r="B941" s="1" t="n">
        <v>46001</v>
      </c>
      <c r="C941" s="1" t="n">
        <v>46051</v>
      </c>
      <c r="D941" t="inlineStr">
        <is>
          <t>VÄRMLANDS LÄN</t>
        </is>
      </c>
      <c r="E941" t="inlineStr">
        <is>
          <t>ÅRJÄNG</t>
        </is>
      </c>
      <c r="G941" t="n">
        <v>2.9</v>
      </c>
      <c r="H941" t="n">
        <v>0</v>
      </c>
      <c r="I941" t="n">
        <v>0</v>
      </c>
      <c r="J941" t="n">
        <v>0</v>
      </c>
      <c r="K941" t="n">
        <v>0</v>
      </c>
      <c r="L941" t="n">
        <v>0</v>
      </c>
      <c r="M941" t="n">
        <v>0</v>
      </c>
      <c r="N941" t="n">
        <v>0</v>
      </c>
      <c r="O941" t="n">
        <v>0</v>
      </c>
      <c r="P941" t="n">
        <v>0</v>
      </c>
      <c r="Q941" t="n">
        <v>0</v>
      </c>
      <c r="R941" s="2" t="inlineStr"/>
    </row>
    <row r="942" ht="15" customHeight="1">
      <c r="A942" t="inlineStr">
        <is>
          <t>A 61631-2025</t>
        </is>
      </c>
      <c r="B942" s="1" t="n">
        <v>46002.4105787037</v>
      </c>
      <c r="C942" s="1" t="n">
        <v>46051</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3986-2026</t>
        </is>
      </c>
      <c r="B943" s="1" t="n">
        <v>46044.37398148148</v>
      </c>
      <c r="C943" s="1" t="n">
        <v>46051</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6562-2023</t>
        </is>
      </c>
      <c r="B944" s="1" t="n">
        <v>44966</v>
      </c>
      <c r="C944" s="1" t="n">
        <v>46051</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34205-2025</t>
        </is>
      </c>
      <c r="B945" s="1" t="n">
        <v>45845</v>
      </c>
      <c r="C945" s="1" t="n">
        <v>46051</v>
      </c>
      <c r="D945" t="inlineStr">
        <is>
          <t>VÄRMLANDS LÄN</t>
        </is>
      </c>
      <c r="E945" t="inlineStr">
        <is>
          <t>ÅRJÄNG</t>
        </is>
      </c>
      <c r="G945" t="n">
        <v>4.4</v>
      </c>
      <c r="H945" t="n">
        <v>0</v>
      </c>
      <c r="I945" t="n">
        <v>0</v>
      </c>
      <c r="J945" t="n">
        <v>0</v>
      </c>
      <c r="K945" t="n">
        <v>0</v>
      </c>
      <c r="L945" t="n">
        <v>0</v>
      </c>
      <c r="M945" t="n">
        <v>0</v>
      </c>
      <c r="N945" t="n">
        <v>0</v>
      </c>
      <c r="O945" t="n">
        <v>0</v>
      </c>
      <c r="P945" t="n">
        <v>0</v>
      </c>
      <c r="Q945" t="n">
        <v>0</v>
      </c>
      <c r="R945" s="2" t="inlineStr"/>
    </row>
    <row r="946" ht="15" customHeight="1">
      <c r="A946" t="inlineStr">
        <is>
          <t>A 61547-2025</t>
        </is>
      </c>
      <c r="B946" s="1" t="n">
        <v>46001</v>
      </c>
      <c r="C946" s="1" t="n">
        <v>46051</v>
      </c>
      <c r="D946" t="inlineStr">
        <is>
          <t>VÄRMLANDS LÄN</t>
        </is>
      </c>
      <c r="E946" t="inlineStr">
        <is>
          <t>ÅRJÄNG</t>
        </is>
      </c>
      <c r="G946" t="n">
        <v>5.2</v>
      </c>
      <c r="H946" t="n">
        <v>0</v>
      </c>
      <c r="I946" t="n">
        <v>0</v>
      </c>
      <c r="J946" t="n">
        <v>0</v>
      </c>
      <c r="K946" t="n">
        <v>0</v>
      </c>
      <c r="L946" t="n">
        <v>0</v>
      </c>
      <c r="M946" t="n">
        <v>0</v>
      </c>
      <c r="N946" t="n">
        <v>0</v>
      </c>
      <c r="O946" t="n">
        <v>0</v>
      </c>
      <c r="P946" t="n">
        <v>0</v>
      </c>
      <c r="Q946" t="n">
        <v>0</v>
      </c>
      <c r="R946" s="2" t="inlineStr"/>
    </row>
    <row r="947" ht="15" customHeight="1">
      <c r="A947" t="inlineStr">
        <is>
          <t>A 57178-2023</t>
        </is>
      </c>
      <c r="B947" s="1" t="n">
        <v>45240</v>
      </c>
      <c r="C947" s="1" t="n">
        <v>46051</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15574-2025</t>
        </is>
      </c>
      <c r="B948" s="1" t="n">
        <v>45747</v>
      </c>
      <c r="C948" s="1" t="n">
        <v>46051</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71472-2021</t>
        </is>
      </c>
      <c r="B949" s="1" t="n">
        <v>44540</v>
      </c>
      <c r="C949" s="1" t="n">
        <v>46051</v>
      </c>
      <c r="D949" t="inlineStr">
        <is>
          <t>VÄRMLANDS LÄN</t>
        </is>
      </c>
      <c r="E949" t="inlineStr">
        <is>
          <t>ÅRJÄNG</t>
        </is>
      </c>
      <c r="G949" t="n">
        <v>1.9</v>
      </c>
      <c r="H949" t="n">
        <v>0</v>
      </c>
      <c r="I949" t="n">
        <v>0</v>
      </c>
      <c r="J949" t="n">
        <v>0</v>
      </c>
      <c r="K949" t="n">
        <v>0</v>
      </c>
      <c r="L949" t="n">
        <v>0</v>
      </c>
      <c r="M949" t="n">
        <v>0</v>
      </c>
      <c r="N949" t="n">
        <v>0</v>
      </c>
      <c r="O949" t="n">
        <v>0</v>
      </c>
      <c r="P949" t="n">
        <v>0</v>
      </c>
      <c r="Q949" t="n">
        <v>0</v>
      </c>
      <c r="R949" s="2" t="inlineStr"/>
    </row>
    <row r="950" ht="15" customHeight="1">
      <c r="A950" t="inlineStr">
        <is>
          <t>A 56329-2024</t>
        </is>
      </c>
      <c r="B950" s="1" t="n">
        <v>45624.79435185185</v>
      </c>
      <c r="C950" s="1" t="n">
        <v>46051</v>
      </c>
      <c r="D950" t="inlineStr">
        <is>
          <t>VÄRMLANDS LÄN</t>
        </is>
      </c>
      <c r="E950" t="inlineStr">
        <is>
          <t>ÅRJÄNG</t>
        </is>
      </c>
      <c r="G950" t="n">
        <v>4.6</v>
      </c>
      <c r="H950" t="n">
        <v>0</v>
      </c>
      <c r="I950" t="n">
        <v>0</v>
      </c>
      <c r="J950" t="n">
        <v>0</v>
      </c>
      <c r="K950" t="n">
        <v>0</v>
      </c>
      <c r="L950" t="n">
        <v>0</v>
      </c>
      <c r="M950" t="n">
        <v>0</v>
      </c>
      <c r="N950" t="n">
        <v>0</v>
      </c>
      <c r="O950" t="n">
        <v>0</v>
      </c>
      <c r="P950" t="n">
        <v>0</v>
      </c>
      <c r="Q950" t="n">
        <v>0</v>
      </c>
      <c r="R950" s="2" t="inlineStr"/>
    </row>
    <row r="951" ht="15" customHeight="1">
      <c r="A951" t="inlineStr">
        <is>
          <t>A 62086-2025</t>
        </is>
      </c>
      <c r="B951" s="1" t="n">
        <v>46006.37521990741</v>
      </c>
      <c r="C951" s="1" t="n">
        <v>46051</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7098-2024</t>
        </is>
      </c>
      <c r="B952" s="1" t="n">
        <v>45343</v>
      </c>
      <c r="C952" s="1" t="n">
        <v>46051</v>
      </c>
      <c r="D952" t="inlineStr">
        <is>
          <t>VÄRMLANDS LÄN</t>
        </is>
      </c>
      <c r="E952" t="inlineStr">
        <is>
          <t>ÅRJÄNG</t>
        </is>
      </c>
      <c r="G952" t="n">
        <v>5</v>
      </c>
      <c r="H952" t="n">
        <v>0</v>
      </c>
      <c r="I952" t="n">
        <v>0</v>
      </c>
      <c r="J952" t="n">
        <v>0</v>
      </c>
      <c r="K952" t="n">
        <v>0</v>
      </c>
      <c r="L952" t="n">
        <v>0</v>
      </c>
      <c r="M952" t="n">
        <v>0</v>
      </c>
      <c r="N952" t="n">
        <v>0</v>
      </c>
      <c r="O952" t="n">
        <v>0</v>
      </c>
      <c r="P952" t="n">
        <v>0</v>
      </c>
      <c r="Q952" t="n">
        <v>0</v>
      </c>
      <c r="R952" s="2" t="inlineStr"/>
    </row>
    <row r="953" ht="15" customHeight="1">
      <c r="A953" t="inlineStr">
        <is>
          <t>A 7100-2024</t>
        </is>
      </c>
      <c r="B953" s="1" t="n">
        <v>45343</v>
      </c>
      <c r="C953" s="1" t="n">
        <v>46051</v>
      </c>
      <c r="D953" t="inlineStr">
        <is>
          <t>VÄRMLANDS LÄN</t>
        </is>
      </c>
      <c r="E953" t="inlineStr">
        <is>
          <t>ÅRJÄNG</t>
        </is>
      </c>
      <c r="G953" t="n">
        <v>6.5</v>
      </c>
      <c r="H953" t="n">
        <v>0</v>
      </c>
      <c r="I953" t="n">
        <v>0</v>
      </c>
      <c r="J953" t="n">
        <v>0</v>
      </c>
      <c r="K953" t="n">
        <v>0</v>
      </c>
      <c r="L953" t="n">
        <v>0</v>
      </c>
      <c r="M953" t="n">
        <v>0</v>
      </c>
      <c r="N953" t="n">
        <v>0</v>
      </c>
      <c r="O953" t="n">
        <v>0</v>
      </c>
      <c r="P953" t="n">
        <v>0</v>
      </c>
      <c r="Q953" t="n">
        <v>0</v>
      </c>
      <c r="R953" s="2" t="inlineStr"/>
    </row>
    <row r="954" ht="15" customHeight="1">
      <c r="A954" t="inlineStr">
        <is>
          <t>A 45651-2024</t>
        </is>
      </c>
      <c r="B954" s="1" t="n">
        <v>45579</v>
      </c>
      <c r="C954" s="1" t="n">
        <v>46051</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70591-2021</t>
        </is>
      </c>
      <c r="B955" s="1" t="n">
        <v>44537.41471064815</v>
      </c>
      <c r="C955" s="1" t="n">
        <v>46051</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36563-2024</t>
        </is>
      </c>
      <c r="B956" s="1" t="n">
        <v>45537</v>
      </c>
      <c r="C956" s="1" t="n">
        <v>46051</v>
      </c>
      <c r="D956" t="inlineStr">
        <is>
          <t>VÄRMLANDS LÄN</t>
        </is>
      </c>
      <c r="E956" t="inlineStr">
        <is>
          <t>ÅRJÄNG</t>
        </is>
      </c>
      <c r="G956" t="n">
        <v>1.1</v>
      </c>
      <c r="H956" t="n">
        <v>0</v>
      </c>
      <c r="I956" t="n">
        <v>0</v>
      </c>
      <c r="J956" t="n">
        <v>0</v>
      </c>
      <c r="K956" t="n">
        <v>0</v>
      </c>
      <c r="L956" t="n">
        <v>0</v>
      </c>
      <c r="M956" t="n">
        <v>0</v>
      </c>
      <c r="N956" t="n">
        <v>0</v>
      </c>
      <c r="O956" t="n">
        <v>0</v>
      </c>
      <c r="P956" t="n">
        <v>0</v>
      </c>
      <c r="Q956" t="n">
        <v>0</v>
      </c>
      <c r="R956" s="2" t="inlineStr"/>
    </row>
    <row r="957" ht="15" customHeight="1">
      <c r="A957" t="inlineStr">
        <is>
          <t>A 58491-2023</t>
        </is>
      </c>
      <c r="B957" s="1" t="n">
        <v>45246</v>
      </c>
      <c r="C957" s="1" t="n">
        <v>46051</v>
      </c>
      <c r="D957" t="inlineStr">
        <is>
          <t>VÄRMLANDS LÄN</t>
        </is>
      </c>
      <c r="E957" t="inlineStr">
        <is>
          <t>ÅRJÄNG</t>
        </is>
      </c>
      <c r="G957" t="n">
        <v>11.4</v>
      </c>
      <c r="H957" t="n">
        <v>0</v>
      </c>
      <c r="I957" t="n">
        <v>0</v>
      </c>
      <c r="J957" t="n">
        <v>0</v>
      </c>
      <c r="K957" t="n">
        <v>0</v>
      </c>
      <c r="L957" t="n">
        <v>0</v>
      </c>
      <c r="M957" t="n">
        <v>0</v>
      </c>
      <c r="N957" t="n">
        <v>0</v>
      </c>
      <c r="O957" t="n">
        <v>0</v>
      </c>
      <c r="P957" t="n">
        <v>0</v>
      </c>
      <c r="Q957" t="n">
        <v>0</v>
      </c>
      <c r="R957" s="2" t="inlineStr"/>
    </row>
    <row r="958" ht="15" customHeight="1">
      <c r="A958" t="inlineStr">
        <is>
          <t>A 60191-2023</t>
        </is>
      </c>
      <c r="B958" s="1" t="n">
        <v>45257</v>
      </c>
      <c r="C958" s="1" t="n">
        <v>46051</v>
      </c>
      <c r="D958" t="inlineStr">
        <is>
          <t>VÄRMLANDS LÄN</t>
        </is>
      </c>
      <c r="E958" t="inlineStr">
        <is>
          <t>ÅRJÄNG</t>
        </is>
      </c>
      <c r="G958" t="n">
        <v>7.6</v>
      </c>
      <c r="H958" t="n">
        <v>0</v>
      </c>
      <c r="I958" t="n">
        <v>0</v>
      </c>
      <c r="J958" t="n">
        <v>0</v>
      </c>
      <c r="K958" t="n">
        <v>0</v>
      </c>
      <c r="L958" t="n">
        <v>0</v>
      </c>
      <c r="M958" t="n">
        <v>0</v>
      </c>
      <c r="N958" t="n">
        <v>0</v>
      </c>
      <c r="O958" t="n">
        <v>0</v>
      </c>
      <c r="P958" t="n">
        <v>0</v>
      </c>
      <c r="Q958" t="n">
        <v>0</v>
      </c>
      <c r="R958" s="2" t="inlineStr"/>
    </row>
    <row r="959" ht="15" customHeight="1">
      <c r="A959" t="inlineStr">
        <is>
          <t>A 4784-2023</t>
        </is>
      </c>
      <c r="B959" s="1" t="n">
        <v>44957.59476851852</v>
      </c>
      <c r="C959" s="1" t="n">
        <v>46051</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55901-2023</t>
        </is>
      </c>
      <c r="B960" s="1" t="n">
        <v>45239.86618055555</v>
      </c>
      <c r="C960" s="1" t="n">
        <v>46051</v>
      </c>
      <c r="D960" t="inlineStr">
        <is>
          <t>VÄRMLANDS LÄN</t>
        </is>
      </c>
      <c r="E960" t="inlineStr">
        <is>
          <t>ÅRJÄNG</t>
        </is>
      </c>
      <c r="G960" t="n">
        <v>1.3</v>
      </c>
      <c r="H960" t="n">
        <v>0</v>
      </c>
      <c r="I960" t="n">
        <v>0</v>
      </c>
      <c r="J960" t="n">
        <v>0</v>
      </c>
      <c r="K960" t="n">
        <v>0</v>
      </c>
      <c r="L960" t="n">
        <v>0</v>
      </c>
      <c r="M960" t="n">
        <v>0</v>
      </c>
      <c r="N960" t="n">
        <v>0</v>
      </c>
      <c r="O960" t="n">
        <v>0</v>
      </c>
      <c r="P960" t="n">
        <v>0</v>
      </c>
      <c r="Q960" t="n">
        <v>0</v>
      </c>
      <c r="R960" s="2" t="inlineStr"/>
    </row>
    <row r="961" ht="15" customHeight="1">
      <c r="A961" t="inlineStr">
        <is>
          <t>A 43029-2021</t>
        </is>
      </c>
      <c r="B961" s="1" t="n">
        <v>44431.49302083333</v>
      </c>
      <c r="C961" s="1" t="n">
        <v>46051</v>
      </c>
      <c r="D961" t="inlineStr">
        <is>
          <t>VÄRMLANDS LÄN</t>
        </is>
      </c>
      <c r="E961" t="inlineStr">
        <is>
          <t>ÅRJÄNG</t>
        </is>
      </c>
      <c r="G961" t="n">
        <v>5.5</v>
      </c>
      <c r="H961" t="n">
        <v>0</v>
      </c>
      <c r="I961" t="n">
        <v>0</v>
      </c>
      <c r="J961" t="n">
        <v>0</v>
      </c>
      <c r="K961" t="n">
        <v>0</v>
      </c>
      <c r="L961" t="n">
        <v>0</v>
      </c>
      <c r="M961" t="n">
        <v>0</v>
      </c>
      <c r="N961" t="n">
        <v>0</v>
      </c>
      <c r="O961" t="n">
        <v>0</v>
      </c>
      <c r="P961" t="n">
        <v>0</v>
      </c>
      <c r="Q961" t="n">
        <v>0</v>
      </c>
      <c r="R961" s="2" t="inlineStr"/>
    </row>
    <row r="962" ht="15" customHeight="1">
      <c r="A962" t="inlineStr">
        <is>
          <t>A 69839-2021</t>
        </is>
      </c>
      <c r="B962" s="1" t="n">
        <v>44532</v>
      </c>
      <c r="C962" s="1" t="n">
        <v>46051</v>
      </c>
      <c r="D962" t="inlineStr">
        <is>
          <t>VÄRMLANDS LÄN</t>
        </is>
      </c>
      <c r="E962" t="inlineStr">
        <is>
          <t>ÅRJÄNG</t>
        </is>
      </c>
      <c r="G962" t="n">
        <v>3.1</v>
      </c>
      <c r="H962" t="n">
        <v>0</v>
      </c>
      <c r="I962" t="n">
        <v>0</v>
      </c>
      <c r="J962" t="n">
        <v>0</v>
      </c>
      <c r="K962" t="n">
        <v>0</v>
      </c>
      <c r="L962" t="n">
        <v>0</v>
      </c>
      <c r="M962" t="n">
        <v>0</v>
      </c>
      <c r="N962" t="n">
        <v>0</v>
      </c>
      <c r="O962" t="n">
        <v>0</v>
      </c>
      <c r="P962" t="n">
        <v>0</v>
      </c>
      <c r="Q962" t="n">
        <v>0</v>
      </c>
      <c r="R962" s="2" t="inlineStr"/>
    </row>
    <row r="963" ht="15" customHeight="1">
      <c r="A963" t="inlineStr">
        <is>
          <t>A 1377-2023</t>
        </is>
      </c>
      <c r="B963" s="1" t="n">
        <v>44936.67111111111</v>
      </c>
      <c r="C963" s="1" t="n">
        <v>46051</v>
      </c>
      <c r="D963" t="inlineStr">
        <is>
          <t>VÄRMLANDS LÄN</t>
        </is>
      </c>
      <c r="E963" t="inlineStr">
        <is>
          <t>ÅRJÄNG</t>
        </is>
      </c>
      <c r="G963" t="n">
        <v>1.6</v>
      </c>
      <c r="H963" t="n">
        <v>0</v>
      </c>
      <c r="I963" t="n">
        <v>0</v>
      </c>
      <c r="J963" t="n">
        <v>0</v>
      </c>
      <c r="K963" t="n">
        <v>0</v>
      </c>
      <c r="L963" t="n">
        <v>0</v>
      </c>
      <c r="M963" t="n">
        <v>0</v>
      </c>
      <c r="N963" t="n">
        <v>0</v>
      </c>
      <c r="O963" t="n">
        <v>0</v>
      </c>
      <c r="P963" t="n">
        <v>0</v>
      </c>
      <c r="Q963" t="n">
        <v>0</v>
      </c>
      <c r="R963" s="2" t="inlineStr"/>
    </row>
    <row r="964" ht="15" customHeight="1">
      <c r="A964" t="inlineStr">
        <is>
          <t>A 62804-2025</t>
        </is>
      </c>
      <c r="B964" s="1" t="n">
        <v>46008.64297453704</v>
      </c>
      <c r="C964" s="1" t="n">
        <v>46051</v>
      </c>
      <c r="D964" t="inlineStr">
        <is>
          <t>VÄRMLANDS LÄN</t>
        </is>
      </c>
      <c r="E964" t="inlineStr">
        <is>
          <t>ÅRJÄNG</t>
        </is>
      </c>
      <c r="F964" t="inlineStr">
        <is>
          <t>Kyrkan</t>
        </is>
      </c>
      <c r="G964" t="n">
        <v>10.4</v>
      </c>
      <c r="H964" t="n">
        <v>0</v>
      </c>
      <c r="I964" t="n">
        <v>0</v>
      </c>
      <c r="J964" t="n">
        <v>0</v>
      </c>
      <c r="K964" t="n">
        <v>0</v>
      </c>
      <c r="L964" t="n">
        <v>0</v>
      </c>
      <c r="M964" t="n">
        <v>0</v>
      </c>
      <c r="N964" t="n">
        <v>0</v>
      </c>
      <c r="O964" t="n">
        <v>0</v>
      </c>
      <c r="P964" t="n">
        <v>0</v>
      </c>
      <c r="Q964" t="n">
        <v>0</v>
      </c>
      <c r="R964" s="2" t="inlineStr"/>
    </row>
    <row r="965" ht="15" customHeight="1">
      <c r="A965" t="inlineStr">
        <is>
          <t>A 5168-2026</t>
        </is>
      </c>
      <c r="B965" s="1" t="n">
        <v>46049.63106481481</v>
      </c>
      <c r="C965" s="1" t="n">
        <v>46051</v>
      </c>
      <c r="D965" t="inlineStr">
        <is>
          <t>VÄRMLANDS LÄN</t>
        </is>
      </c>
      <c r="E965" t="inlineStr">
        <is>
          <t>ÅRJÄNG</t>
        </is>
      </c>
      <c r="G965" t="n">
        <v>0.3</v>
      </c>
      <c r="H965" t="n">
        <v>0</v>
      </c>
      <c r="I965" t="n">
        <v>0</v>
      </c>
      <c r="J965" t="n">
        <v>0</v>
      </c>
      <c r="K965" t="n">
        <v>0</v>
      </c>
      <c r="L965" t="n">
        <v>0</v>
      </c>
      <c r="M965" t="n">
        <v>0</v>
      </c>
      <c r="N965" t="n">
        <v>0</v>
      </c>
      <c r="O965" t="n">
        <v>0</v>
      </c>
      <c r="P965" t="n">
        <v>0</v>
      </c>
      <c r="Q965" t="n">
        <v>0</v>
      </c>
      <c r="R965" s="2" t="inlineStr"/>
    </row>
    <row r="966" ht="15" customHeight="1">
      <c r="A966" t="inlineStr">
        <is>
          <t>A 5216-2026</t>
        </is>
      </c>
      <c r="B966" s="1" t="n">
        <v>46049.74716435185</v>
      </c>
      <c r="C966" s="1" t="n">
        <v>46051</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3734-2023</t>
        </is>
      </c>
      <c r="B967" s="1" t="n">
        <v>44948</v>
      </c>
      <c r="C967" s="1" t="n">
        <v>46051</v>
      </c>
      <c r="D967" t="inlineStr">
        <is>
          <t>VÄRMLANDS LÄN</t>
        </is>
      </c>
      <c r="E967" t="inlineStr">
        <is>
          <t>ÅRJÄNG</t>
        </is>
      </c>
      <c r="G967" t="n">
        <v>1</v>
      </c>
      <c r="H967" t="n">
        <v>0</v>
      </c>
      <c r="I967" t="n">
        <v>0</v>
      </c>
      <c r="J967" t="n">
        <v>0</v>
      </c>
      <c r="K967" t="n">
        <v>0</v>
      </c>
      <c r="L967" t="n">
        <v>0</v>
      </c>
      <c r="M967" t="n">
        <v>0</v>
      </c>
      <c r="N967" t="n">
        <v>0</v>
      </c>
      <c r="O967" t="n">
        <v>0</v>
      </c>
      <c r="P967" t="n">
        <v>0</v>
      </c>
      <c r="Q967" t="n">
        <v>0</v>
      </c>
      <c r="R967" s="2" t="inlineStr"/>
    </row>
    <row r="968" ht="15" customHeight="1">
      <c r="A968" t="inlineStr">
        <is>
          <t>A 5169-2026</t>
        </is>
      </c>
      <c r="B968" s="1" t="n">
        <v>46049.63304398148</v>
      </c>
      <c r="C968" s="1" t="n">
        <v>46051</v>
      </c>
      <c r="D968" t="inlineStr">
        <is>
          <t>VÄRMLANDS LÄN</t>
        </is>
      </c>
      <c r="E968" t="inlineStr">
        <is>
          <t>ÅRJÄNG</t>
        </is>
      </c>
      <c r="G968" t="n">
        <v>2.2</v>
      </c>
      <c r="H968" t="n">
        <v>0</v>
      </c>
      <c r="I968" t="n">
        <v>0</v>
      </c>
      <c r="J968" t="n">
        <v>0</v>
      </c>
      <c r="K968" t="n">
        <v>0</v>
      </c>
      <c r="L968" t="n">
        <v>0</v>
      </c>
      <c r="M968" t="n">
        <v>0</v>
      </c>
      <c r="N968" t="n">
        <v>0</v>
      </c>
      <c r="O968" t="n">
        <v>0</v>
      </c>
      <c r="P968" t="n">
        <v>0</v>
      </c>
      <c r="Q968" t="n">
        <v>0</v>
      </c>
      <c r="R968" s="2" t="inlineStr"/>
    </row>
    <row r="969" ht="15" customHeight="1">
      <c r="A969" t="inlineStr">
        <is>
          <t>A 34350-2023</t>
        </is>
      </c>
      <c r="B969" s="1" t="n">
        <v>45139.40969907407</v>
      </c>
      <c r="C969" s="1" t="n">
        <v>46051</v>
      </c>
      <c r="D969" t="inlineStr">
        <is>
          <t>VÄRMLANDS LÄN</t>
        </is>
      </c>
      <c r="E969" t="inlineStr">
        <is>
          <t>ÅRJÄNG</t>
        </is>
      </c>
      <c r="G969" t="n">
        <v>3.2</v>
      </c>
      <c r="H969" t="n">
        <v>0</v>
      </c>
      <c r="I969" t="n">
        <v>0</v>
      </c>
      <c r="J969" t="n">
        <v>0</v>
      </c>
      <c r="K969" t="n">
        <v>0</v>
      </c>
      <c r="L969" t="n">
        <v>0</v>
      </c>
      <c r="M969" t="n">
        <v>0</v>
      </c>
      <c r="N969" t="n">
        <v>0</v>
      </c>
      <c r="O969" t="n">
        <v>0</v>
      </c>
      <c r="P969" t="n">
        <v>0</v>
      </c>
      <c r="Q969" t="n">
        <v>0</v>
      </c>
      <c r="R969" s="2" t="inlineStr"/>
    </row>
    <row r="970" ht="15" customHeight="1">
      <c r="A970" t="inlineStr">
        <is>
          <t>A 7619-2023</t>
        </is>
      </c>
      <c r="B970" s="1" t="n">
        <v>44967</v>
      </c>
      <c r="C970" s="1" t="n">
        <v>46051</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60377-2022</t>
        </is>
      </c>
      <c r="B971" s="1" t="n">
        <v>44904</v>
      </c>
      <c r="C971" s="1" t="n">
        <v>46051</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65844-2021</t>
        </is>
      </c>
      <c r="B972" s="1" t="n">
        <v>44517.36067129629</v>
      </c>
      <c r="C972" s="1" t="n">
        <v>46051</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46315-2024</t>
        </is>
      </c>
      <c r="B973" s="1" t="n">
        <v>45581.73703703703</v>
      </c>
      <c r="C973" s="1" t="n">
        <v>46051</v>
      </c>
      <c r="D973" t="inlineStr">
        <is>
          <t>VÄRMLANDS LÄN</t>
        </is>
      </c>
      <c r="E973" t="inlineStr">
        <is>
          <t>ÅRJÄNG</t>
        </is>
      </c>
      <c r="G973" t="n">
        <v>2.1</v>
      </c>
      <c r="H973" t="n">
        <v>0</v>
      </c>
      <c r="I973" t="n">
        <v>0</v>
      </c>
      <c r="J973" t="n">
        <v>0</v>
      </c>
      <c r="K973" t="n">
        <v>0</v>
      </c>
      <c r="L973" t="n">
        <v>0</v>
      </c>
      <c r="M973" t="n">
        <v>0</v>
      </c>
      <c r="N973" t="n">
        <v>0</v>
      </c>
      <c r="O973" t="n">
        <v>0</v>
      </c>
      <c r="P973" t="n">
        <v>0</v>
      </c>
      <c r="Q973" t="n">
        <v>0</v>
      </c>
      <c r="R973" s="2" t="inlineStr"/>
    </row>
    <row r="974" ht="15" customHeight="1">
      <c r="A974" t="inlineStr">
        <is>
          <t>A 14910-2025</t>
        </is>
      </c>
      <c r="B974" s="1" t="n">
        <v>45743.52327546296</v>
      </c>
      <c r="C974" s="1" t="n">
        <v>46051</v>
      </c>
      <c r="D974" t="inlineStr">
        <is>
          <t>VÄRMLANDS LÄN</t>
        </is>
      </c>
      <c r="E974" t="inlineStr">
        <is>
          <t>ÅRJÄNG</t>
        </is>
      </c>
      <c r="G974" t="n">
        <v>2.2</v>
      </c>
      <c r="H974" t="n">
        <v>0</v>
      </c>
      <c r="I974" t="n">
        <v>0</v>
      </c>
      <c r="J974" t="n">
        <v>0</v>
      </c>
      <c r="K974" t="n">
        <v>0</v>
      </c>
      <c r="L974" t="n">
        <v>0</v>
      </c>
      <c r="M974" t="n">
        <v>0</v>
      </c>
      <c r="N974" t="n">
        <v>0</v>
      </c>
      <c r="O974" t="n">
        <v>0</v>
      </c>
      <c r="P974" t="n">
        <v>0</v>
      </c>
      <c r="Q974" t="n">
        <v>0</v>
      </c>
      <c r="R974" s="2" t="inlineStr"/>
    </row>
    <row r="975" ht="15" customHeight="1">
      <c r="A975" t="inlineStr">
        <is>
          <t>A 5146-2026</t>
        </is>
      </c>
      <c r="B975" s="1" t="n">
        <v>46049.61055555556</v>
      </c>
      <c r="C975" s="1" t="n">
        <v>46051</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37220-2024</t>
        </is>
      </c>
      <c r="B976" s="1" t="n">
        <v>45539.84837962963</v>
      </c>
      <c r="C976" s="1" t="n">
        <v>46051</v>
      </c>
      <c r="D976" t="inlineStr">
        <is>
          <t>VÄRMLANDS LÄN</t>
        </is>
      </c>
      <c r="E976" t="inlineStr">
        <is>
          <t>ÅRJÄNG</t>
        </is>
      </c>
      <c r="G976" t="n">
        <v>3.5</v>
      </c>
      <c r="H976" t="n">
        <v>0</v>
      </c>
      <c r="I976" t="n">
        <v>0</v>
      </c>
      <c r="J976" t="n">
        <v>0</v>
      </c>
      <c r="K976" t="n">
        <v>0</v>
      </c>
      <c r="L976" t="n">
        <v>0</v>
      </c>
      <c r="M976" t="n">
        <v>0</v>
      </c>
      <c r="N976" t="n">
        <v>0</v>
      </c>
      <c r="O976" t="n">
        <v>0</v>
      </c>
      <c r="P976" t="n">
        <v>0</v>
      </c>
      <c r="Q976" t="n">
        <v>0</v>
      </c>
      <c r="R976" s="2" t="inlineStr"/>
    </row>
    <row r="977" ht="15" customHeight="1">
      <c r="A977" t="inlineStr">
        <is>
          <t>A 5214-2026</t>
        </is>
      </c>
      <c r="B977" s="1" t="n">
        <v>46049.73527777778</v>
      </c>
      <c r="C977" s="1" t="n">
        <v>46051</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5217-2026</t>
        </is>
      </c>
      <c r="B978" s="1" t="n">
        <v>46049.74869212963</v>
      </c>
      <c r="C978" s="1" t="n">
        <v>46051</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44995.61495370371</v>
      </c>
      <c r="C979" s="1" t="n">
        <v>46051</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4923-2026</t>
        </is>
      </c>
      <c r="B980" s="1" t="n">
        <v>46045</v>
      </c>
      <c r="C980" s="1" t="n">
        <v>46051</v>
      </c>
      <c r="D980" t="inlineStr">
        <is>
          <t>VÄRMLANDS LÄN</t>
        </is>
      </c>
      <c r="E980" t="inlineStr">
        <is>
          <t>ÅRJÄNG</t>
        </is>
      </c>
      <c r="F980" t="inlineStr">
        <is>
          <t>Övriga Aktiebolag</t>
        </is>
      </c>
      <c r="G980" t="n">
        <v>11.4</v>
      </c>
      <c r="H980" t="n">
        <v>0</v>
      </c>
      <c r="I980" t="n">
        <v>0</v>
      </c>
      <c r="J980" t="n">
        <v>0</v>
      </c>
      <c r="K980" t="n">
        <v>0</v>
      </c>
      <c r="L980" t="n">
        <v>0</v>
      </c>
      <c r="M980" t="n">
        <v>0</v>
      </c>
      <c r="N980" t="n">
        <v>0</v>
      </c>
      <c r="O980" t="n">
        <v>0</v>
      </c>
      <c r="P980" t="n">
        <v>0</v>
      </c>
      <c r="Q980" t="n">
        <v>0</v>
      </c>
      <c r="R980" s="2" t="inlineStr"/>
    </row>
    <row r="981" ht="15" customHeight="1">
      <c r="A981" t="inlineStr">
        <is>
          <t>A 62851-2025</t>
        </is>
      </c>
      <c r="B981" s="1" t="n">
        <v>46008.703125</v>
      </c>
      <c r="C981" s="1" t="n">
        <v>46051</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52803-2024</t>
        </is>
      </c>
      <c r="B982" s="1" t="n">
        <v>45610</v>
      </c>
      <c r="C982" s="1" t="n">
        <v>46051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6405-2024</t>
        </is>
      </c>
      <c r="B983" s="1" t="n">
        <v>45338</v>
      </c>
      <c r="C983" s="1" t="n">
        <v>46051</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13859-2023</t>
        </is>
      </c>
      <c r="B984" s="1" t="n">
        <v>45007.63384259259</v>
      </c>
      <c r="C984" s="1" t="n">
        <v>46051</v>
      </c>
      <c r="D984" t="inlineStr">
        <is>
          <t>VÄRMLANDS LÄN</t>
        </is>
      </c>
      <c r="E984" t="inlineStr">
        <is>
          <t>ÅRJÄNG</t>
        </is>
      </c>
      <c r="G984" t="n">
        <v>3</v>
      </c>
      <c r="H984" t="n">
        <v>0</v>
      </c>
      <c r="I984" t="n">
        <v>0</v>
      </c>
      <c r="J984" t="n">
        <v>0</v>
      </c>
      <c r="K984" t="n">
        <v>0</v>
      </c>
      <c r="L984" t="n">
        <v>0</v>
      </c>
      <c r="M984" t="n">
        <v>0</v>
      </c>
      <c r="N984" t="n">
        <v>0</v>
      </c>
      <c r="O984" t="n">
        <v>0</v>
      </c>
      <c r="P984" t="n">
        <v>0</v>
      </c>
      <c r="Q984" t="n">
        <v>0</v>
      </c>
      <c r="R984" s="2" t="inlineStr"/>
    </row>
    <row r="985" ht="15" customHeight="1">
      <c r="A985" t="inlineStr">
        <is>
          <t>A 63796-2021</t>
        </is>
      </c>
      <c r="B985" s="1" t="n">
        <v>44509</v>
      </c>
      <c r="C985" s="1" t="n">
        <v>46051</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50941-2023</t>
        </is>
      </c>
      <c r="B986" s="1" t="n">
        <v>45218</v>
      </c>
      <c r="C986" s="1" t="n">
        <v>46051</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57651-2024</t>
        </is>
      </c>
      <c r="B987" s="1" t="n">
        <v>45630</v>
      </c>
      <c r="C987" s="1" t="n">
        <v>46051</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35133-2024</t>
        </is>
      </c>
      <c r="B988" s="1" t="n">
        <v>45529</v>
      </c>
      <c r="C988" s="1" t="n">
        <v>46051</v>
      </c>
      <c r="D988" t="inlineStr">
        <is>
          <t>VÄRMLANDS LÄN</t>
        </is>
      </c>
      <c r="E988" t="inlineStr">
        <is>
          <t>ÅRJÄNG</t>
        </is>
      </c>
      <c r="G988" t="n">
        <v>10.2</v>
      </c>
      <c r="H988" t="n">
        <v>0</v>
      </c>
      <c r="I988" t="n">
        <v>0</v>
      </c>
      <c r="J988" t="n">
        <v>0</v>
      </c>
      <c r="K988" t="n">
        <v>0</v>
      </c>
      <c r="L988" t="n">
        <v>0</v>
      </c>
      <c r="M988" t="n">
        <v>0</v>
      </c>
      <c r="N988" t="n">
        <v>0</v>
      </c>
      <c r="O988" t="n">
        <v>0</v>
      </c>
      <c r="P988" t="n">
        <v>0</v>
      </c>
      <c r="Q988" t="n">
        <v>0</v>
      </c>
      <c r="R988" s="2" t="inlineStr"/>
    </row>
    <row r="989" ht="15" customHeight="1">
      <c r="A989" t="inlineStr">
        <is>
          <t>A 4465-2022</t>
        </is>
      </c>
      <c r="B989" s="1" t="n">
        <v>44589.60690972222</v>
      </c>
      <c r="C989" s="1" t="n">
        <v>46051</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58874-2023</t>
        </is>
      </c>
      <c r="B990" s="1" t="n">
        <v>45252</v>
      </c>
      <c r="C990" s="1" t="n">
        <v>46051</v>
      </c>
      <c r="D990" t="inlineStr">
        <is>
          <t>VÄRMLANDS LÄN</t>
        </is>
      </c>
      <c r="E990" t="inlineStr">
        <is>
          <t>ÅRJÄNG</t>
        </is>
      </c>
      <c r="G990" t="n">
        <v>2.5</v>
      </c>
      <c r="H990" t="n">
        <v>0</v>
      </c>
      <c r="I990" t="n">
        <v>0</v>
      </c>
      <c r="J990" t="n">
        <v>0</v>
      </c>
      <c r="K990" t="n">
        <v>0</v>
      </c>
      <c r="L990" t="n">
        <v>0</v>
      </c>
      <c r="M990" t="n">
        <v>0</v>
      </c>
      <c r="N990" t="n">
        <v>0</v>
      </c>
      <c r="O990" t="n">
        <v>0</v>
      </c>
      <c r="P990" t="n">
        <v>0</v>
      </c>
      <c r="Q990" t="n">
        <v>0</v>
      </c>
      <c r="R990" s="2" t="inlineStr"/>
    </row>
    <row r="991" ht="15" customHeight="1">
      <c r="A991" t="inlineStr">
        <is>
          <t>A 62357-2021</t>
        </is>
      </c>
      <c r="B991" s="1" t="n">
        <v>44503.45271990741</v>
      </c>
      <c r="C991" s="1" t="n">
        <v>46051</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29204-2023</t>
        </is>
      </c>
      <c r="B992" s="1" t="n">
        <v>45105.5669212963</v>
      </c>
      <c r="C992" s="1" t="n">
        <v>46051</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38536-2024</t>
        </is>
      </c>
      <c r="B993" s="1" t="n">
        <v>45546.59431712963</v>
      </c>
      <c r="C993" s="1" t="n">
        <v>46051</v>
      </c>
      <c r="D993" t="inlineStr">
        <is>
          <t>VÄRMLANDS LÄN</t>
        </is>
      </c>
      <c r="E993" t="inlineStr">
        <is>
          <t>ÅRJÄNG</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17015-2023</t>
        </is>
      </c>
      <c r="B994" s="1" t="n">
        <v>45030</v>
      </c>
      <c r="C994" s="1" t="n">
        <v>46051</v>
      </c>
      <c r="D994" t="inlineStr">
        <is>
          <t>VÄRMLANDS LÄN</t>
        </is>
      </c>
      <c r="E994" t="inlineStr">
        <is>
          <t>ÅRJÄNG</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38840-2023</t>
        </is>
      </c>
      <c r="B995" s="1" t="n">
        <v>45163.48267361111</v>
      </c>
      <c r="C995" s="1" t="n">
        <v>46051</v>
      </c>
      <c r="D995" t="inlineStr">
        <is>
          <t>VÄRMLANDS LÄN</t>
        </is>
      </c>
      <c r="E995" t="inlineStr">
        <is>
          <t>ÅRJÄNG</t>
        </is>
      </c>
      <c r="G995" t="n">
        <v>2.4</v>
      </c>
      <c r="H995" t="n">
        <v>0</v>
      </c>
      <c r="I995" t="n">
        <v>0</v>
      </c>
      <c r="J995" t="n">
        <v>0</v>
      </c>
      <c r="K995" t="n">
        <v>0</v>
      </c>
      <c r="L995" t="n">
        <v>0</v>
      </c>
      <c r="M995" t="n">
        <v>0</v>
      </c>
      <c r="N995" t="n">
        <v>0</v>
      </c>
      <c r="O995" t="n">
        <v>0</v>
      </c>
      <c r="P995" t="n">
        <v>0</v>
      </c>
      <c r="Q995" t="n">
        <v>0</v>
      </c>
      <c r="R995" s="2" t="inlineStr"/>
    </row>
    <row r="996" ht="15" customHeight="1">
      <c r="A996" t="inlineStr">
        <is>
          <t>A 36195-2023</t>
        </is>
      </c>
      <c r="B996" s="1" t="n">
        <v>45149</v>
      </c>
      <c r="C996" s="1" t="n">
        <v>46051</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7445-2024</t>
        </is>
      </c>
      <c r="B997" s="1" t="n">
        <v>45345.73023148148</v>
      </c>
      <c r="C997" s="1" t="n">
        <v>46051</v>
      </c>
      <c r="D997" t="inlineStr">
        <is>
          <t>VÄRMLANDS LÄN</t>
        </is>
      </c>
      <c r="E997" t="inlineStr">
        <is>
          <t>ÅRJÄNG</t>
        </is>
      </c>
      <c r="G997" t="n">
        <v>0.5</v>
      </c>
      <c r="H997" t="n">
        <v>0</v>
      </c>
      <c r="I997" t="n">
        <v>0</v>
      </c>
      <c r="J997" t="n">
        <v>0</v>
      </c>
      <c r="K997" t="n">
        <v>0</v>
      </c>
      <c r="L997" t="n">
        <v>0</v>
      </c>
      <c r="M997" t="n">
        <v>0</v>
      </c>
      <c r="N997" t="n">
        <v>0</v>
      </c>
      <c r="O997" t="n">
        <v>0</v>
      </c>
      <c r="P997" t="n">
        <v>0</v>
      </c>
      <c r="Q997" t="n">
        <v>0</v>
      </c>
      <c r="R997" s="2" t="inlineStr"/>
    </row>
    <row r="998" ht="15" customHeight="1">
      <c r="A998" t="inlineStr">
        <is>
          <t>A 45635-2024</t>
        </is>
      </c>
      <c r="B998" s="1" t="n">
        <v>45579</v>
      </c>
      <c r="C998" s="1" t="n">
        <v>46051</v>
      </c>
      <c r="D998" t="inlineStr">
        <is>
          <t>VÄRMLANDS LÄN</t>
        </is>
      </c>
      <c r="E998" t="inlineStr">
        <is>
          <t>ÅRJÄNG</t>
        </is>
      </c>
      <c r="G998" t="n">
        <v>9.1</v>
      </c>
      <c r="H998" t="n">
        <v>0</v>
      </c>
      <c r="I998" t="n">
        <v>0</v>
      </c>
      <c r="J998" t="n">
        <v>0</v>
      </c>
      <c r="K998" t="n">
        <v>0</v>
      </c>
      <c r="L998" t="n">
        <v>0</v>
      </c>
      <c r="M998" t="n">
        <v>0</v>
      </c>
      <c r="N998" t="n">
        <v>0</v>
      </c>
      <c r="O998" t="n">
        <v>0</v>
      </c>
      <c r="P998" t="n">
        <v>0</v>
      </c>
      <c r="Q998" t="n">
        <v>0</v>
      </c>
      <c r="R998" s="2" t="inlineStr"/>
    </row>
    <row r="999" ht="15" customHeight="1">
      <c r="A999" t="inlineStr">
        <is>
          <t>A 54382-2024</t>
        </is>
      </c>
      <c r="B999" s="1" t="n">
        <v>45617.44510416667</v>
      </c>
      <c r="C999" s="1" t="n">
        <v>46051</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56115-2024</t>
        </is>
      </c>
      <c r="B1000" s="1" t="n">
        <v>45624.45351851852</v>
      </c>
      <c r="C1000" s="1" t="n">
        <v>46051</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56116-2024</t>
        </is>
      </c>
      <c r="B1001" s="1" t="n">
        <v>45624.45506944445</v>
      </c>
      <c r="C1001" s="1" t="n">
        <v>46051</v>
      </c>
      <c r="D1001" t="inlineStr">
        <is>
          <t>VÄRMLANDS LÄN</t>
        </is>
      </c>
      <c r="E1001" t="inlineStr">
        <is>
          <t>ÅRJÄNG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8625-2022</t>
        </is>
      </c>
      <c r="B1002" s="1" t="n">
        <v>44613.61064814815</v>
      </c>
      <c r="C1002" s="1" t="n">
        <v>46051</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36017-2024</t>
        </is>
      </c>
      <c r="B1003" s="1" t="n">
        <v>45533</v>
      </c>
      <c r="C1003" s="1" t="n">
        <v>46051</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57152-2024</t>
        </is>
      </c>
      <c r="B1004" s="1" t="n">
        <v>45628</v>
      </c>
      <c r="C1004" s="1" t="n">
        <v>46051</v>
      </c>
      <c r="D1004" t="inlineStr">
        <is>
          <t>VÄRMLANDS LÄN</t>
        </is>
      </c>
      <c r="E1004" t="inlineStr">
        <is>
          <t>ÅRJÄNG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57158-2024</t>
        </is>
      </c>
      <c r="B1005" s="1" t="n">
        <v>45628</v>
      </c>
      <c r="C1005" s="1" t="n">
        <v>46051</v>
      </c>
      <c r="D1005" t="inlineStr">
        <is>
          <t>VÄRMLANDS LÄN</t>
        </is>
      </c>
      <c r="E1005" t="inlineStr">
        <is>
          <t>ÅRJÄNG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55686-2024</t>
        </is>
      </c>
      <c r="B1006" s="1" t="n">
        <v>45622</v>
      </c>
      <c r="C1006" s="1" t="n">
        <v>46051</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58540-2024</t>
        </is>
      </c>
      <c r="B1007" s="1" t="n">
        <v>45635</v>
      </c>
      <c r="C1007" s="1" t="n">
        <v>46051</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47028-2024</t>
        </is>
      </c>
      <c r="B1008" s="1" t="n">
        <v>45586</v>
      </c>
      <c r="C1008" s="1" t="n">
        <v>46051</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37029-2024</t>
        </is>
      </c>
      <c r="B1009" s="1" t="n">
        <v>45539.38806712963</v>
      </c>
      <c r="C1009" s="1" t="n">
        <v>46051</v>
      </c>
      <c r="D1009" t="inlineStr">
        <is>
          <t>VÄRMLANDS LÄN</t>
        </is>
      </c>
      <c r="E1009" t="inlineStr">
        <is>
          <t>ÅRJÄNG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16012-2024</t>
        </is>
      </c>
      <c r="B1010" s="1" t="n">
        <v>45405.6524074074</v>
      </c>
      <c r="C1010" s="1" t="n">
        <v>46051</v>
      </c>
      <c r="D1010" t="inlineStr">
        <is>
          <t>VÄRMLANDS LÄN</t>
        </is>
      </c>
      <c r="E1010" t="inlineStr">
        <is>
          <t>ÅRJÄNG</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31794-2023</t>
        </is>
      </c>
      <c r="B1011" s="1" t="n">
        <v>45118.43856481482</v>
      </c>
      <c r="C1011" s="1" t="n">
        <v>46051</v>
      </c>
      <c r="D1011" t="inlineStr">
        <is>
          <t>VÄRMLANDS LÄN</t>
        </is>
      </c>
      <c r="E1011" t="inlineStr">
        <is>
          <t>ÅRJÄNG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57126-2024</t>
        </is>
      </c>
      <c r="B1012" s="1" t="n">
        <v>45629.37579861111</v>
      </c>
      <c r="C1012" s="1" t="n">
        <v>46051</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58270-2024</t>
        </is>
      </c>
      <c r="B1013" s="1" t="n">
        <v>45632.56928240741</v>
      </c>
      <c r="C1013" s="1" t="n">
        <v>46051</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47981-2023</t>
        </is>
      </c>
      <c r="B1014" s="1" t="n">
        <v>45198</v>
      </c>
      <c r="C1014" s="1" t="n">
        <v>46051</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20463-2024</t>
        </is>
      </c>
      <c r="B1015" s="1" t="n">
        <v>45435</v>
      </c>
      <c r="C1015" s="1" t="n">
        <v>46051</v>
      </c>
      <c r="D1015" t="inlineStr">
        <is>
          <t>VÄRMLANDS LÄN</t>
        </is>
      </c>
      <c r="E1015" t="inlineStr">
        <is>
          <t>ÅRJÄNG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73363-2021</t>
        </is>
      </c>
      <c r="B1016" s="1" t="n">
        <v>44550</v>
      </c>
      <c r="C1016" s="1" t="n">
        <v>46051</v>
      </c>
      <c r="D1016" t="inlineStr">
        <is>
          <t>VÄRMLANDS LÄN</t>
        </is>
      </c>
      <c r="E1016" t="inlineStr">
        <is>
          <t>ÅRJÄNG</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37122-2022</t>
        </is>
      </c>
      <c r="B1017" s="1" t="n">
        <v>44806</v>
      </c>
      <c r="C1017" s="1" t="n">
        <v>46051</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59014-2024</t>
        </is>
      </c>
      <c r="B1018" s="1" t="n">
        <v>45636</v>
      </c>
      <c r="C1018" s="1" t="n">
        <v>46051</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37061-2023</t>
        </is>
      </c>
      <c r="B1019" s="1" t="n">
        <v>45155</v>
      </c>
      <c r="C1019" s="1" t="n">
        <v>46051</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45054.64534722222</v>
      </c>
      <c r="C1020" s="1" t="n">
        <v>46051</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56644-2024</t>
        </is>
      </c>
      <c r="B1021" s="1" t="n">
        <v>45625</v>
      </c>
      <c r="C1021" s="1" t="n">
        <v>46051</v>
      </c>
      <c r="D1021" t="inlineStr">
        <is>
          <t>VÄRMLANDS LÄN</t>
        </is>
      </c>
      <c r="E1021" t="inlineStr">
        <is>
          <t>ÅRJÄNG</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40360-2024</t>
        </is>
      </c>
      <c r="B1022" s="1" t="n">
        <v>45555</v>
      </c>
      <c r="C1022" s="1" t="n">
        <v>46051</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45124-2024</t>
        </is>
      </c>
      <c r="B1023" s="1" t="n">
        <v>45575</v>
      </c>
      <c r="C1023" s="1" t="n">
        <v>46051</v>
      </c>
      <c r="D1023" t="inlineStr">
        <is>
          <t>VÄRMLANDS LÄN</t>
        </is>
      </c>
      <c r="E1023" t="inlineStr">
        <is>
          <t>ÅRJÄNG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5507-2024</t>
        </is>
      </c>
      <c r="B1024" s="1" t="n">
        <v>45334.36188657407</v>
      </c>
      <c r="C1024" s="1" t="n">
        <v>46051</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73623-2021</t>
        </is>
      </c>
      <c r="B1025" s="1" t="n">
        <v>44552</v>
      </c>
      <c r="C1025" s="1" t="n">
        <v>46051</v>
      </c>
      <c r="D1025" t="inlineStr">
        <is>
          <t>VÄRMLANDS LÄN</t>
        </is>
      </c>
      <c r="E1025" t="inlineStr">
        <is>
          <t>ÅRJÄNG</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19313-2023</t>
        </is>
      </c>
      <c r="B1026" s="1" t="n">
        <v>45049</v>
      </c>
      <c r="C1026" s="1" t="n">
        <v>46051</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50918-2023</t>
        </is>
      </c>
      <c r="B1027" s="1" t="n">
        <v>45218.4339699074</v>
      </c>
      <c r="C1027" s="1" t="n">
        <v>46051</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56342-2024</t>
        </is>
      </c>
      <c r="B1028" s="1" t="n">
        <v>45624</v>
      </c>
      <c r="C1028" s="1" t="n">
        <v>46051</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56347-2024</t>
        </is>
      </c>
      <c r="B1029" s="1" t="n">
        <v>45624</v>
      </c>
      <c r="C1029" s="1" t="n">
        <v>46051</v>
      </c>
      <c r="D1029" t="inlineStr">
        <is>
          <t>VÄRMLANDS LÄN</t>
        </is>
      </c>
      <c r="E1029" t="inlineStr">
        <is>
          <t>ÅRJÄNG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23945-2023</t>
        </is>
      </c>
      <c r="B1030" s="1" t="n">
        <v>45075</v>
      </c>
      <c r="C1030" s="1" t="n">
        <v>46051</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58435-2024</t>
        </is>
      </c>
      <c r="B1031" s="1" t="n">
        <v>45634</v>
      </c>
      <c r="C1031" s="1" t="n">
        <v>46051</v>
      </c>
      <c r="D1031" t="inlineStr">
        <is>
          <t>VÄRMLANDS LÄN</t>
        </is>
      </c>
      <c r="E1031" t="inlineStr">
        <is>
          <t>ÅRJÄNG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32541-2023</t>
        </is>
      </c>
      <c r="B1032" s="1" t="n">
        <v>45121.39616898148</v>
      </c>
      <c r="C1032" s="1" t="n">
        <v>46051</v>
      </c>
      <c r="D1032" t="inlineStr">
        <is>
          <t>VÄRMLANDS LÄN</t>
        </is>
      </c>
      <c r="E1032" t="inlineStr">
        <is>
          <t>ÅRJÄNG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11704-2025</t>
        </is>
      </c>
      <c r="B1033" s="1" t="n">
        <v>45727.57896990741</v>
      </c>
      <c r="C1033" s="1" t="n">
        <v>46051</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15903-2022</t>
        </is>
      </c>
      <c r="B1034" s="1" t="n">
        <v>44664.57841435185</v>
      </c>
      <c r="C1034" s="1" t="n">
        <v>46051</v>
      </c>
      <c r="D1034" t="inlineStr">
        <is>
          <t>VÄRMLANDS LÄN</t>
        </is>
      </c>
      <c r="E1034" t="inlineStr">
        <is>
          <t>ÅRJÄNG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37765-2023</t>
        </is>
      </c>
      <c r="B1035" s="1" t="n">
        <v>45159</v>
      </c>
      <c r="C1035" s="1" t="n">
        <v>46051</v>
      </c>
      <c r="D1035" t="inlineStr">
        <is>
          <t>VÄRMLANDS LÄN</t>
        </is>
      </c>
      <c r="E1035" t="inlineStr">
        <is>
          <t>ÅRJÄNG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61226-2024</t>
        </is>
      </c>
      <c r="B1036" s="1" t="n">
        <v>45645.66853009259</v>
      </c>
      <c r="C1036" s="1" t="n">
        <v>46051</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51157-2024</t>
        </is>
      </c>
      <c r="B1037" s="1" t="n">
        <v>45603</v>
      </c>
      <c r="C1037" s="1" t="n">
        <v>46051</v>
      </c>
      <c r="D1037" t="inlineStr">
        <is>
          <t>VÄRMLANDS LÄN</t>
        </is>
      </c>
      <c r="E1037" t="inlineStr">
        <is>
          <t>ÅRJÄNG</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4798-2022</t>
        </is>
      </c>
      <c r="B1038" s="1" t="n">
        <v>44592.6534375</v>
      </c>
      <c r="C1038" s="1" t="n">
        <v>46051</v>
      </c>
      <c r="D1038" t="inlineStr">
        <is>
          <t>VÄRMLANDS LÄN</t>
        </is>
      </c>
      <c r="E1038" t="inlineStr">
        <is>
          <t>ÅRJÄNG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60020-2024</t>
        </is>
      </c>
      <c r="B1039" s="1" t="n">
        <v>45642.44655092592</v>
      </c>
      <c r="C1039" s="1" t="n">
        <v>46051</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20674-2023</t>
        </is>
      </c>
      <c r="B1040" s="1" t="n">
        <v>45058</v>
      </c>
      <c r="C1040" s="1" t="n">
        <v>46051</v>
      </c>
      <c r="D1040" t="inlineStr">
        <is>
          <t>VÄRMLANDS LÄN</t>
        </is>
      </c>
      <c r="E1040" t="inlineStr">
        <is>
          <t>ÅRJÄNG</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39096-2023</t>
        </is>
      </c>
      <c r="B1041" s="1" t="n">
        <v>45164.55570601852</v>
      </c>
      <c r="C1041" s="1" t="n">
        <v>46051</v>
      </c>
      <c r="D1041" t="inlineStr">
        <is>
          <t>VÄRMLANDS LÄN</t>
        </is>
      </c>
      <c r="E1041" t="inlineStr">
        <is>
          <t>ÅRJÄNG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23878-2023</t>
        </is>
      </c>
      <c r="B1042" s="1" t="n">
        <v>45078</v>
      </c>
      <c r="C1042" s="1" t="n">
        <v>46051</v>
      </c>
      <c r="D1042" t="inlineStr">
        <is>
          <t>VÄRMLANDS LÄN</t>
        </is>
      </c>
      <c r="E1042" t="inlineStr">
        <is>
          <t>ÅRJÄNG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39178-2023</t>
        </is>
      </c>
      <c r="B1043" s="1" t="n">
        <v>45166.38395833333</v>
      </c>
      <c r="C1043" s="1" t="n">
        <v>46051</v>
      </c>
      <c r="D1043" t="inlineStr">
        <is>
          <t>VÄRMLANDS LÄN</t>
        </is>
      </c>
      <c r="E1043" t="inlineStr">
        <is>
          <t>ÅRJÄNG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5332-2025</t>
        </is>
      </c>
      <c r="B1044" s="1" t="n">
        <v>45692.53978009259</v>
      </c>
      <c r="C1044" s="1" t="n">
        <v>46051</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52574-2024</t>
        </is>
      </c>
      <c r="B1045" s="1" t="n">
        <v>45609</v>
      </c>
      <c r="C1045" s="1" t="n">
        <v>46051</v>
      </c>
      <c r="D1045" t="inlineStr">
        <is>
          <t>VÄRMLANDS LÄN</t>
        </is>
      </c>
      <c r="E1045" t="inlineStr">
        <is>
          <t>ÅRJÄNG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3656-2022</t>
        </is>
      </c>
      <c r="B1046" s="1" t="n">
        <v>44586</v>
      </c>
      <c r="C1046" s="1" t="n">
        <v>46051</v>
      </c>
      <c r="D1046" t="inlineStr">
        <is>
          <t>VÄRMLANDS LÄN</t>
        </is>
      </c>
      <c r="E1046" t="inlineStr">
        <is>
          <t>ÅRJÄNG</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11392-2024</t>
        </is>
      </c>
      <c r="B1047" s="1" t="n">
        <v>45372</v>
      </c>
      <c r="C1047" s="1" t="n">
        <v>46051</v>
      </c>
      <c r="D1047" t="inlineStr">
        <is>
          <t>VÄRMLANDS LÄN</t>
        </is>
      </c>
      <c r="E1047" t="inlineStr">
        <is>
          <t>ÅRJÄNG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70461-2021</t>
        </is>
      </c>
      <c r="B1048" s="1" t="n">
        <v>44536</v>
      </c>
      <c r="C1048" s="1" t="n">
        <v>46051</v>
      </c>
      <c r="D1048" t="inlineStr">
        <is>
          <t>VÄRMLANDS LÄN</t>
        </is>
      </c>
      <c r="E1048" t="inlineStr">
        <is>
          <t>ÅRJÄNG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38707-2023</t>
        </is>
      </c>
      <c r="B1049" s="1" t="n">
        <v>45163.34018518519</v>
      </c>
      <c r="C1049" s="1" t="n">
        <v>46051</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45643-2023</t>
        </is>
      </c>
      <c r="B1050" s="1" t="n">
        <v>45194.69827546296</v>
      </c>
      <c r="C1050" s="1" t="n">
        <v>46051</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55071-2024</t>
        </is>
      </c>
      <c r="B1051" s="1" t="n">
        <v>45621.41861111111</v>
      </c>
      <c r="C1051" s="1" t="n">
        <v>46051</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52579-2024</t>
        </is>
      </c>
      <c r="B1052" s="1" t="n">
        <v>45609</v>
      </c>
      <c r="C1052" s="1" t="n">
        <v>46051</v>
      </c>
      <c r="D1052" t="inlineStr">
        <is>
          <t>VÄRMLANDS LÄN</t>
        </is>
      </c>
      <c r="E1052" t="inlineStr">
        <is>
          <t>ÅRJÄNG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44556-2023</t>
        </is>
      </c>
      <c r="B1053" s="1" t="n">
        <v>45189.53738425926</v>
      </c>
      <c r="C1053" s="1" t="n">
        <v>46051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53742-2024</t>
        </is>
      </c>
      <c r="B1054" s="1" t="n">
        <v>45615.47130787037</v>
      </c>
      <c r="C1054" s="1" t="n">
        <v>46051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56769-2024</t>
        </is>
      </c>
      <c r="B1055" s="1" t="n">
        <v>45628.41550925926</v>
      </c>
      <c r="C1055" s="1" t="n">
        <v>46051</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4582-2025</t>
        </is>
      </c>
      <c r="B1056" s="1" t="n">
        <v>45687</v>
      </c>
      <c r="C1056" s="1" t="n">
        <v>46051</v>
      </c>
      <c r="D1056" t="inlineStr">
        <is>
          <t>VÄRMLANDS LÄN</t>
        </is>
      </c>
      <c r="E1056" t="inlineStr">
        <is>
          <t>ÅRJÄNG</t>
        </is>
      </c>
      <c r="F1056" t="inlineStr">
        <is>
          <t>Övriga Aktiebolag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44004-2023</t>
        </is>
      </c>
      <c r="B1057" s="1" t="n">
        <v>45188.30134259259</v>
      </c>
      <c r="C1057" s="1" t="n">
        <v>46051</v>
      </c>
      <c r="D1057" t="inlineStr">
        <is>
          <t>VÄRMLANDS LÄN</t>
        </is>
      </c>
      <c r="E1057" t="inlineStr">
        <is>
          <t>ÅRJÄNG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44007-2023</t>
        </is>
      </c>
      <c r="B1058" s="1" t="n">
        <v>45188.31231481482</v>
      </c>
      <c r="C1058" s="1" t="n">
        <v>46051</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5741-2025</t>
        </is>
      </c>
      <c r="B1059" s="1" t="n">
        <v>45694.52100694444</v>
      </c>
      <c r="C1059" s="1" t="n">
        <v>46051</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283-2025</t>
        </is>
      </c>
      <c r="B1060" s="1" t="n">
        <v>45656</v>
      </c>
      <c r="C1060" s="1" t="n">
        <v>46051</v>
      </c>
      <c r="D1060" t="inlineStr">
        <is>
          <t>VÄRMLANDS LÄN</t>
        </is>
      </c>
      <c r="E1060" t="inlineStr">
        <is>
          <t>ÅRJÄNG</t>
        </is>
      </c>
      <c r="F1060" t="inlineStr">
        <is>
          <t>Övriga Aktiebolag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5127-2025</t>
        </is>
      </c>
      <c r="B1061" s="1" t="n">
        <v>45691.56623842593</v>
      </c>
      <c r="C1061" s="1" t="n">
        <v>46051</v>
      </c>
      <c r="D1061" t="inlineStr">
        <is>
          <t>VÄRMLANDS LÄN</t>
        </is>
      </c>
      <c r="E1061" t="inlineStr">
        <is>
          <t>ÅRJÄNG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55422-2023</t>
        </is>
      </c>
      <c r="B1062" s="1" t="n">
        <v>45238.41858796297</v>
      </c>
      <c r="C1062" s="1" t="n">
        <v>46051</v>
      </c>
      <c r="D1062" t="inlineStr">
        <is>
          <t>VÄRMLANDS LÄN</t>
        </is>
      </c>
      <c r="E1062" t="inlineStr">
        <is>
          <t>ÅRJÄNG</t>
        </is>
      </c>
      <c r="F1062" t="inlineStr">
        <is>
          <t>Kyrkan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8601-2022</t>
        </is>
      </c>
      <c r="B1063" s="1" t="n">
        <v>44613.57193287037</v>
      </c>
      <c r="C1063" s="1" t="n">
        <v>46051</v>
      </c>
      <c r="D1063" t="inlineStr">
        <is>
          <t>VÄRMLANDS LÄN</t>
        </is>
      </c>
      <c r="E1063" t="inlineStr">
        <is>
          <t>ÅRJÄNG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56060-2023</t>
        </is>
      </c>
      <c r="B1064" s="1" t="n">
        <v>45233</v>
      </c>
      <c r="C1064" s="1" t="n">
        <v>46051</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56655-2024</t>
        </is>
      </c>
      <c r="B1065" s="1" t="n">
        <v>45625</v>
      </c>
      <c r="C1065" s="1" t="n">
        <v>46051</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27240-2023</t>
        </is>
      </c>
      <c r="B1066" s="1" t="n">
        <v>45096</v>
      </c>
      <c r="C1066" s="1" t="n">
        <v>46051</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12137-2025</t>
        </is>
      </c>
      <c r="B1067" s="1" t="n">
        <v>45729.39879629629</v>
      </c>
      <c r="C1067" s="1" t="n">
        <v>46051</v>
      </c>
      <c r="D1067" t="inlineStr">
        <is>
          <t>VÄRMLANDS LÄN</t>
        </is>
      </c>
      <c r="E1067" t="inlineStr">
        <is>
          <t>ÅRJÄNG</t>
        </is>
      </c>
      <c r="G1067" t="n">
        <v>12.6</v>
      </c>
      <c r="H1067" t="n">
        <v>0</v>
      </c>
      <c r="I1067" t="n">
        <v>0</v>
      </c>
      <c r="J1067" t="n">
        <v>0</v>
      </c>
      <c r="K1067" t="n">
        <v>0</v>
      </c>
      <c r="L1067" t="n">
        <v>0</v>
      </c>
      <c r="M1067" t="n">
        <v>0</v>
      </c>
      <c r="N1067" t="n">
        <v>0</v>
      </c>
      <c r="O1067" t="n">
        <v>0</v>
      </c>
      <c r="P1067" t="n">
        <v>0</v>
      </c>
      <c r="Q1067" t="n">
        <v>0</v>
      </c>
      <c r="R1067" s="2" t="inlineStr"/>
    </row>
    <row r="1068" ht="15" customHeight="1">
      <c r="A1068" t="inlineStr">
        <is>
          <t>A 46351-2023</t>
        </is>
      </c>
      <c r="B1068" s="1" t="n">
        <v>45197.42811342593</v>
      </c>
      <c r="C1068" s="1" t="n">
        <v>46051</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17361-2022</t>
        </is>
      </c>
      <c r="B1069" s="1" t="n">
        <v>44678.6044675926</v>
      </c>
      <c r="C1069" s="1" t="n">
        <v>46051</v>
      </c>
      <c r="D1069" t="inlineStr">
        <is>
          <t>VÄRMLANDS LÄN</t>
        </is>
      </c>
      <c r="E1069" t="inlineStr">
        <is>
          <t>ÅRJÄNG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57546-2024</t>
        </is>
      </c>
      <c r="B1070" s="1" t="n">
        <v>45629</v>
      </c>
      <c r="C1070" s="1" t="n">
        <v>46051</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9427-2025</t>
        </is>
      </c>
      <c r="B1071" s="1" t="n">
        <v>45715</v>
      </c>
      <c r="C1071" s="1" t="n">
        <v>46051</v>
      </c>
      <c r="D1071" t="inlineStr">
        <is>
          <t>VÄRMLANDS LÄN</t>
        </is>
      </c>
      <c r="E1071" t="inlineStr">
        <is>
          <t>ÅRJÄNG</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57306-2023</t>
        </is>
      </c>
      <c r="B1072" s="1" t="n">
        <v>45245.62431712963</v>
      </c>
      <c r="C1072" s="1" t="n">
        <v>46051</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48357-2023</t>
        </is>
      </c>
      <c r="B1073" s="1" t="n">
        <v>45202</v>
      </c>
      <c r="C1073" s="1" t="n">
        <v>46051</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39434-2023</t>
        </is>
      </c>
      <c r="B1074" s="1" t="n">
        <v>45166.69690972222</v>
      </c>
      <c r="C1074" s="1" t="n">
        <v>46051</v>
      </c>
      <c r="D1074" t="inlineStr">
        <is>
          <t>VÄRMLANDS LÄN</t>
        </is>
      </c>
      <c r="E1074" t="inlineStr">
        <is>
          <t>ÅRJÄNG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236-2025</t>
        </is>
      </c>
      <c r="B1075" s="1" t="n">
        <v>45653</v>
      </c>
      <c r="C1075" s="1" t="n">
        <v>46051</v>
      </c>
      <c r="D1075" t="inlineStr">
        <is>
          <t>VÄRMLANDS LÄN</t>
        </is>
      </c>
      <c r="E1075" t="inlineStr">
        <is>
          <t>ÅRJÄNG</t>
        </is>
      </c>
      <c r="F1075" t="inlineStr">
        <is>
          <t>Övriga Aktiebolag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1602-2025</t>
        </is>
      </c>
      <c r="B1076" s="1" t="n">
        <v>45670.59069444444</v>
      </c>
      <c r="C1076" s="1" t="n">
        <v>46051</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43253-2023</t>
        </is>
      </c>
      <c r="B1077" s="1" t="n">
        <v>45183.49578703703</v>
      </c>
      <c r="C1077" s="1" t="n">
        <v>46051</v>
      </c>
      <c r="D1077" t="inlineStr">
        <is>
          <t>VÄRMLANDS LÄN</t>
        </is>
      </c>
      <c r="E1077" t="inlineStr">
        <is>
          <t>ÅRJÄNG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17827-2025</t>
        </is>
      </c>
      <c r="B1078" s="1" t="n">
        <v>45758.57596064815</v>
      </c>
      <c r="C1078" s="1" t="n">
        <v>46051</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19920-2024</t>
        </is>
      </c>
      <c r="B1079" s="1" t="n">
        <v>45433.58947916667</v>
      </c>
      <c r="C1079" s="1" t="n">
        <v>46051</v>
      </c>
      <c r="D1079" t="inlineStr">
        <is>
          <t>VÄRMLANDS LÄN</t>
        </is>
      </c>
      <c r="E1079" t="inlineStr">
        <is>
          <t>ÅRJÄNG</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32095-2024</t>
        </is>
      </c>
      <c r="B1080" s="1" t="n">
        <v>45511.39107638889</v>
      </c>
      <c r="C1080" s="1" t="n">
        <v>46051</v>
      </c>
      <c r="D1080" t="inlineStr">
        <is>
          <t>VÄRMLANDS LÄN</t>
        </is>
      </c>
      <c r="E1080" t="inlineStr">
        <is>
          <t>ÅRJÄNG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301-2025</t>
        </is>
      </c>
      <c r="B1081" s="1" t="n">
        <v>45660.56</v>
      </c>
      <c r="C1081" s="1" t="n">
        <v>46051</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14434-2025</t>
        </is>
      </c>
      <c r="B1082" s="1" t="n">
        <v>45741</v>
      </c>
      <c r="C1082" s="1" t="n">
        <v>46051</v>
      </c>
      <c r="D1082" t="inlineStr">
        <is>
          <t>VÄRMLANDS LÄN</t>
        </is>
      </c>
      <c r="E1082" t="inlineStr">
        <is>
          <t>ÅRJÄNG</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19248-2025</t>
        </is>
      </c>
      <c r="B1083" s="1" t="n">
        <v>45769.48710648148</v>
      </c>
      <c r="C1083" s="1" t="n">
        <v>46051</v>
      </c>
      <c r="D1083" t="inlineStr">
        <is>
          <t>VÄRMLANDS LÄN</t>
        </is>
      </c>
      <c r="E1083" t="inlineStr">
        <is>
          <t>ÅRJÄNG</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6109-2025</t>
        </is>
      </c>
      <c r="B1084" s="1" t="n">
        <v>45698.31012731481</v>
      </c>
      <c r="C1084" s="1" t="n">
        <v>46051</v>
      </c>
      <c r="D1084" t="inlineStr">
        <is>
          <t>VÄRMLANDS LÄN</t>
        </is>
      </c>
      <c r="E1084" t="inlineStr">
        <is>
          <t>ÅRJÄNG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21443-2022</t>
        </is>
      </c>
      <c r="B1085" s="1" t="n">
        <v>44706.35293981482</v>
      </c>
      <c r="C1085" s="1" t="n">
        <v>46051</v>
      </c>
      <c r="D1085" t="inlineStr">
        <is>
          <t>VÄRMLANDS LÄN</t>
        </is>
      </c>
      <c r="E1085" t="inlineStr">
        <is>
          <t>ÅRJÄNG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48203-2023</t>
        </is>
      </c>
      <c r="B1086" s="1" t="n">
        <v>45200</v>
      </c>
      <c r="C1086" s="1" t="n">
        <v>46051</v>
      </c>
      <c r="D1086" t="inlineStr">
        <is>
          <t>VÄRMLANDS LÄN</t>
        </is>
      </c>
      <c r="E1086" t="inlineStr">
        <is>
          <t>ÅRJÄNG</t>
        </is>
      </c>
      <c r="F1086" t="inlineStr">
        <is>
          <t>Övriga Aktiebolag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42667-2023</t>
        </is>
      </c>
      <c r="B1087" s="1" t="n">
        <v>45176</v>
      </c>
      <c r="C1087" s="1" t="n">
        <v>46051</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13504-2025</t>
        </is>
      </c>
      <c r="B1088" s="1" t="n">
        <v>45736.46400462963</v>
      </c>
      <c r="C1088" s="1" t="n">
        <v>46051</v>
      </c>
      <c r="D1088" t="inlineStr">
        <is>
          <t>VÄRMLANDS LÄN</t>
        </is>
      </c>
      <c r="E1088" t="inlineStr">
        <is>
          <t>ÅRJÄNG</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16519-2025</t>
        </is>
      </c>
      <c r="B1089" s="1" t="n">
        <v>45751</v>
      </c>
      <c r="C1089" s="1" t="n">
        <v>46051</v>
      </c>
      <c r="D1089" t="inlineStr">
        <is>
          <t>VÄRMLANDS LÄN</t>
        </is>
      </c>
      <c r="E1089" t="inlineStr">
        <is>
          <t>ÅRJÄNG</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53554-2023</t>
        </is>
      </c>
      <c r="B1090" s="1" t="n">
        <v>45230</v>
      </c>
      <c r="C1090" s="1" t="n">
        <v>46051</v>
      </c>
      <c r="D1090" t="inlineStr">
        <is>
          <t>VÄRMLANDS LÄN</t>
        </is>
      </c>
      <c r="E1090" t="inlineStr">
        <is>
          <t>ÅRJÄNG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55574-2023</t>
        </is>
      </c>
      <c r="B1091" s="1" t="n">
        <v>45232</v>
      </c>
      <c r="C1091" s="1" t="n">
        <v>46051</v>
      </c>
      <c r="D1091" t="inlineStr">
        <is>
          <t>VÄRMLANDS LÄN</t>
        </is>
      </c>
      <c r="E1091" t="inlineStr">
        <is>
          <t>ÅRJÄNG</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3729-2025</t>
        </is>
      </c>
      <c r="B1092" s="1" t="n">
        <v>45681.5497800926</v>
      </c>
      <c r="C1092" s="1" t="n">
        <v>46051</v>
      </c>
      <c r="D1092" t="inlineStr">
        <is>
          <t>VÄRMLANDS LÄN</t>
        </is>
      </c>
      <c r="E1092" t="inlineStr">
        <is>
          <t>ÅRJÄNG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60207-2023</t>
        </is>
      </c>
      <c r="B1093" s="1" t="n">
        <v>45257</v>
      </c>
      <c r="C1093" s="1" t="n">
        <v>46051</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58434-2023</t>
        </is>
      </c>
      <c r="B1094" s="1" t="n">
        <v>45250</v>
      </c>
      <c r="C1094" s="1" t="n">
        <v>46051</v>
      </c>
      <c r="D1094" t="inlineStr">
        <is>
          <t>VÄRMLANDS LÄN</t>
        </is>
      </c>
      <c r="E1094" t="inlineStr">
        <is>
          <t>ÅRJÄNG</t>
        </is>
      </c>
      <c r="F1094" t="inlineStr">
        <is>
          <t>Naturvårdsverket</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8356-2025</t>
        </is>
      </c>
      <c r="B1095" s="1" t="n">
        <v>45708.79752314815</v>
      </c>
      <c r="C1095" s="1" t="n">
        <v>46051</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18256-2024</t>
        </is>
      </c>
      <c r="B1096" s="1" t="n">
        <v>45421.52498842592</v>
      </c>
      <c r="C1096" s="1" t="n">
        <v>46051</v>
      </c>
      <c r="D1096" t="inlineStr">
        <is>
          <t>VÄRMLANDS LÄN</t>
        </is>
      </c>
      <c r="E1096" t="inlineStr">
        <is>
          <t>ÅRJÄNG</t>
        </is>
      </c>
      <c r="F1096" t="inlineStr">
        <is>
          <t>Bergvik skog väst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24477-2022</t>
        </is>
      </c>
      <c r="B1097" s="1" t="n">
        <v>44726.65575231481</v>
      </c>
      <c r="C1097" s="1" t="n">
        <v>46051</v>
      </c>
      <c r="D1097" t="inlineStr">
        <is>
          <t>VÄRMLANDS LÄN</t>
        </is>
      </c>
      <c r="E1097" t="inlineStr">
        <is>
          <t>ÅRJÄNG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33525-2023</t>
        </is>
      </c>
      <c r="B1098" s="1" t="n">
        <v>45131.51326388889</v>
      </c>
      <c r="C1098" s="1" t="n">
        <v>46051</v>
      </c>
      <c r="D1098" t="inlineStr">
        <is>
          <t>VÄRMLANDS LÄN</t>
        </is>
      </c>
      <c r="E1098" t="inlineStr">
        <is>
          <t>ÅRJÄNG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46441-2023</t>
        </is>
      </c>
      <c r="B1099" s="1" t="n">
        <v>45197</v>
      </c>
      <c r="C1099" s="1" t="n">
        <v>46051</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59352-2022</t>
        </is>
      </c>
      <c r="B1100" s="1" t="n">
        <v>44904.7077199074</v>
      </c>
      <c r="C1100" s="1" t="n">
        <v>46051</v>
      </c>
      <c r="D1100" t="inlineStr">
        <is>
          <t>VÄRMLANDS LÄN</t>
        </is>
      </c>
      <c r="E1100" t="inlineStr">
        <is>
          <t>ÅRJÄNG</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1115-2024</t>
        </is>
      </c>
      <c r="B1101" s="1" t="n">
        <v>45302</v>
      </c>
      <c r="C1101" s="1" t="n">
        <v>46051</v>
      </c>
      <c r="D1101" t="inlineStr">
        <is>
          <t>VÄRMLANDS LÄN</t>
        </is>
      </c>
      <c r="E1101" t="inlineStr">
        <is>
          <t>ÅRJÄNG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48453-2023</t>
        </is>
      </c>
      <c r="B1102" s="1" t="n">
        <v>45206.4346412037</v>
      </c>
      <c r="C1102" s="1" t="n">
        <v>46051</v>
      </c>
      <c r="D1102" t="inlineStr">
        <is>
          <t>VÄRMLANDS LÄN</t>
        </is>
      </c>
      <c r="E1102" t="inlineStr">
        <is>
          <t>ÅRJÄNG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59784-2023</t>
        </is>
      </c>
      <c r="B1103" s="1" t="n">
        <v>45257</v>
      </c>
      <c r="C1103" s="1" t="n">
        <v>46051</v>
      </c>
      <c r="D1103" t="inlineStr">
        <is>
          <t>VÄRMLANDS LÄN</t>
        </is>
      </c>
      <c r="E1103" t="inlineStr">
        <is>
          <t>ÅRJÄNG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59801-2023</t>
        </is>
      </c>
      <c r="B1104" s="1" t="n">
        <v>45254</v>
      </c>
      <c r="C1104" s="1" t="n">
        <v>46051</v>
      </c>
      <c r="D1104" t="inlineStr">
        <is>
          <t>VÄRMLANDS LÄN</t>
        </is>
      </c>
      <c r="E1104" t="inlineStr">
        <is>
          <t>ÅRJÄNG</t>
        </is>
      </c>
      <c r="G1104" t="n">
        <v>13.8</v>
      </c>
      <c r="H1104" t="n">
        <v>0</v>
      </c>
      <c r="I1104" t="n">
        <v>0</v>
      </c>
      <c r="J1104" t="n">
        <v>0</v>
      </c>
      <c r="K1104" t="n">
        <v>0</v>
      </c>
      <c r="L1104" t="n">
        <v>0</v>
      </c>
      <c r="M1104" t="n">
        <v>0</v>
      </c>
      <c r="N1104" t="n">
        <v>0</v>
      </c>
      <c r="O1104" t="n">
        <v>0</v>
      </c>
      <c r="P1104" t="n">
        <v>0</v>
      </c>
      <c r="Q1104" t="n">
        <v>0</v>
      </c>
      <c r="R1104" s="2" t="inlineStr"/>
    </row>
    <row r="1105" ht="15" customHeight="1">
      <c r="A1105" t="inlineStr">
        <is>
          <t>A 27311-2022</t>
        </is>
      </c>
      <c r="B1105" s="1" t="n">
        <v>44728</v>
      </c>
      <c r="C1105" s="1" t="n">
        <v>46051</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15954-2025</t>
        </is>
      </c>
      <c r="B1106" s="1" t="n">
        <v>45749</v>
      </c>
      <c r="C1106" s="1" t="n">
        <v>46051</v>
      </c>
      <c r="D1106" t="inlineStr">
        <is>
          <t>VÄRMLANDS LÄN</t>
        </is>
      </c>
      <c r="E1106" t="inlineStr">
        <is>
          <t>ÅRJÄNG</t>
        </is>
      </c>
      <c r="F1106" t="inlineStr">
        <is>
          <t>Bergvik skog väst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687-2024</t>
        </is>
      </c>
      <c r="B1107" s="1" t="n">
        <v>45300.37333333334</v>
      </c>
      <c r="C1107" s="1" t="n">
        <v>46051</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713-2024</t>
        </is>
      </c>
      <c r="B1108" s="1" t="n">
        <v>45300.4261574074</v>
      </c>
      <c r="C1108" s="1" t="n">
        <v>46051</v>
      </c>
      <c r="D1108" t="inlineStr">
        <is>
          <t>VÄRMLANDS LÄN</t>
        </is>
      </c>
      <c r="E1108" t="inlineStr">
        <is>
          <t>ÅRJÄNG</t>
        </is>
      </c>
      <c r="F1108" t="inlineStr">
        <is>
          <t>Kyrkan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8835-2025</t>
        </is>
      </c>
      <c r="B1109" s="1" t="n">
        <v>45712.92547453703</v>
      </c>
      <c r="C1109" s="1" t="n">
        <v>46051</v>
      </c>
      <c r="D1109" t="inlineStr">
        <is>
          <t>VÄRMLANDS LÄN</t>
        </is>
      </c>
      <c r="E1109" t="inlineStr">
        <is>
          <t>ÅRJÄNG</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62288-2023</t>
        </is>
      </c>
      <c r="B1110" s="1" t="n">
        <v>45267.65707175926</v>
      </c>
      <c r="C1110" s="1" t="n">
        <v>46051</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18389-2022</t>
        </is>
      </c>
      <c r="B1111" s="1" t="n">
        <v>44685</v>
      </c>
      <c r="C1111" s="1" t="n">
        <v>46051</v>
      </c>
      <c r="D1111" t="inlineStr">
        <is>
          <t>VÄRMLANDS LÄN</t>
        </is>
      </c>
      <c r="E1111" t="inlineStr">
        <is>
          <t>ÅRJÄNG</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12993-2025</t>
        </is>
      </c>
      <c r="B1112" s="1" t="n">
        <v>45734.48583333333</v>
      </c>
      <c r="C1112" s="1" t="n">
        <v>46051</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9630-2025</t>
        </is>
      </c>
      <c r="B1113" s="1" t="n">
        <v>45715.71145833333</v>
      </c>
      <c r="C1113" s="1" t="n">
        <v>46051</v>
      </c>
      <c r="D1113" t="inlineStr">
        <is>
          <t>VÄRMLANDS LÄN</t>
        </is>
      </c>
      <c r="E1113" t="inlineStr">
        <is>
          <t>ÅRJÄNG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14446-2025</t>
        </is>
      </c>
      <c r="B1114" s="1" t="n">
        <v>45741.53552083333</v>
      </c>
      <c r="C1114" s="1" t="n">
        <v>46051</v>
      </c>
      <c r="D1114" t="inlineStr">
        <is>
          <t>VÄRMLANDS LÄN</t>
        </is>
      </c>
      <c r="E1114" t="inlineStr">
        <is>
          <t>ÅRJÄNG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8833-2025</t>
        </is>
      </c>
      <c r="B1115" s="1" t="n">
        <v>45712.91263888889</v>
      </c>
      <c r="C1115" s="1" t="n">
        <v>46051</v>
      </c>
      <c r="D1115" t="inlineStr">
        <is>
          <t>VÄRMLANDS LÄN</t>
        </is>
      </c>
      <c r="E1115" t="inlineStr">
        <is>
          <t>ÅRJÄNG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26265-2024</t>
        </is>
      </c>
      <c r="B1116" s="1" t="n">
        <v>45468</v>
      </c>
      <c r="C1116" s="1" t="n">
        <v>46051</v>
      </c>
      <c r="D1116" t="inlineStr">
        <is>
          <t>VÄRMLANDS LÄN</t>
        </is>
      </c>
      <c r="E1116" t="inlineStr">
        <is>
          <t>ÅRJÄNG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64381-2023</t>
        </is>
      </c>
      <c r="B1117" s="1" t="n">
        <v>45280</v>
      </c>
      <c r="C1117" s="1" t="n">
        <v>46051</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4545-2024</t>
        </is>
      </c>
      <c r="B1118" s="1" t="n">
        <v>45327</v>
      </c>
      <c r="C1118" s="1" t="n">
        <v>46051</v>
      </c>
      <c r="D1118" t="inlineStr">
        <is>
          <t>VÄRMLANDS LÄN</t>
        </is>
      </c>
      <c r="E1118" t="inlineStr">
        <is>
          <t>ÅRJÄNG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47332-2022</t>
        </is>
      </c>
      <c r="B1119" s="1" t="n">
        <v>44853</v>
      </c>
      <c r="C1119" s="1" t="n">
        <v>46051</v>
      </c>
      <c r="D1119" t="inlineStr">
        <is>
          <t>VÄRMLANDS LÄN</t>
        </is>
      </c>
      <c r="E1119" t="inlineStr">
        <is>
          <t>ÅRJÄNG</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21145-2022</t>
        </is>
      </c>
      <c r="B1120" s="1" t="n">
        <v>44704</v>
      </c>
      <c r="C1120" s="1" t="n">
        <v>46051</v>
      </c>
      <c r="D1120" t="inlineStr">
        <is>
          <t>VÄRMLANDS LÄN</t>
        </is>
      </c>
      <c r="E1120" t="inlineStr">
        <is>
          <t>ÅRJÄNG</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48389-2021</t>
        </is>
      </c>
      <c r="B1121" s="1" t="n">
        <v>44452.26943287037</v>
      </c>
      <c r="C1121" s="1" t="n">
        <v>46051</v>
      </c>
      <c r="D1121" t="inlineStr">
        <is>
          <t>VÄRMLANDS LÄN</t>
        </is>
      </c>
      <c r="E1121" t="inlineStr">
        <is>
          <t>ÅRJÄNG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9662-2024</t>
        </is>
      </c>
      <c r="B1122" s="1" t="n">
        <v>45362.43423611111</v>
      </c>
      <c r="C1122" s="1" t="n">
        <v>46051</v>
      </c>
      <c r="D1122" t="inlineStr">
        <is>
          <t>VÄRMLANDS LÄN</t>
        </is>
      </c>
      <c r="E1122" t="inlineStr">
        <is>
          <t>ÅRJÄNG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7794-2024</t>
        </is>
      </c>
      <c r="B1123" s="1" t="n">
        <v>45349</v>
      </c>
      <c r="C1123" s="1" t="n">
        <v>46051</v>
      </c>
      <c r="D1123" t="inlineStr">
        <is>
          <t>VÄRMLANDS LÄN</t>
        </is>
      </c>
      <c r="E1123" t="inlineStr">
        <is>
          <t>ÅRJÄNG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46096-2021</t>
        </is>
      </c>
      <c r="B1124" s="1" t="n">
        <v>44442</v>
      </c>
      <c r="C1124" s="1" t="n">
        <v>46051</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10338-2024</t>
        </is>
      </c>
      <c r="B1125" s="1" t="n">
        <v>45365.58712962963</v>
      </c>
      <c r="C1125" s="1" t="n">
        <v>46051</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51895-2022</t>
        </is>
      </c>
      <c r="B1126" s="1" t="n">
        <v>44872.61237268519</v>
      </c>
      <c r="C1126" s="1" t="n">
        <v>46051</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13647-2025</t>
        </is>
      </c>
      <c r="B1127" s="1" t="n">
        <v>45736.69149305556</v>
      </c>
      <c r="C1127" s="1" t="n">
        <v>46051</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5256-2023</t>
        </is>
      </c>
      <c r="B1128" s="1" t="n">
        <v>44959.45520833333</v>
      </c>
      <c r="C1128" s="1" t="n">
        <v>46051</v>
      </c>
      <c r="D1128" t="inlineStr">
        <is>
          <t>VÄRMLANDS LÄN</t>
        </is>
      </c>
      <c r="E1128" t="inlineStr">
        <is>
          <t>ÅRJÄNG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59624-2022</t>
        </is>
      </c>
      <c r="B1129" s="1" t="n">
        <v>44907.90521990741</v>
      </c>
      <c r="C1129" s="1" t="n">
        <v>46051</v>
      </c>
      <c r="D1129" t="inlineStr">
        <is>
          <t>VÄRMLANDS LÄN</t>
        </is>
      </c>
      <c r="E1129" t="inlineStr">
        <is>
          <t>ÅRJÄNG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64229-2023</t>
        </is>
      </c>
      <c r="B1130" s="1" t="n">
        <v>45279</v>
      </c>
      <c r="C1130" s="1" t="n">
        <v>46051</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7443-2024</t>
        </is>
      </c>
      <c r="B1131" s="1" t="n">
        <v>45345.72207175926</v>
      </c>
      <c r="C1131" s="1" t="n">
        <v>46051</v>
      </c>
      <c r="D1131" t="inlineStr">
        <is>
          <t>VÄRMLANDS LÄN</t>
        </is>
      </c>
      <c r="E1131" t="inlineStr">
        <is>
          <t>ÅRJÄNG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58486-2023</t>
        </is>
      </c>
      <c r="B1132" s="1" t="n">
        <v>45246</v>
      </c>
      <c r="C1132" s="1" t="n">
        <v>46051</v>
      </c>
      <c r="D1132" t="inlineStr">
        <is>
          <t>VÄRMLANDS LÄN</t>
        </is>
      </c>
      <c r="E1132" t="inlineStr">
        <is>
          <t>ÅRJÄNG</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36587-2024</t>
        </is>
      </c>
      <c r="B1133" s="1" t="n">
        <v>45537</v>
      </c>
      <c r="C1133" s="1" t="n">
        <v>46051</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23971-2023</t>
        </is>
      </c>
      <c r="B1134" s="1" t="n">
        <v>45078.63996527778</v>
      </c>
      <c r="C1134" s="1" t="n">
        <v>46051</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57708-2024</t>
        </is>
      </c>
      <c r="B1135" s="1" t="n">
        <v>45630</v>
      </c>
      <c r="C1135" s="1" t="n">
        <v>46051</v>
      </c>
      <c r="D1135" t="inlineStr">
        <is>
          <t>VÄRMLANDS LÄN</t>
        </is>
      </c>
      <c r="E1135" t="inlineStr">
        <is>
          <t>ÅRJÄNG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15547-2025</t>
        </is>
      </c>
      <c r="B1136" s="1" t="n">
        <v>45747</v>
      </c>
      <c r="C1136" s="1" t="n">
        <v>46051</v>
      </c>
      <c r="D1136" t="inlineStr">
        <is>
          <t>VÄRMLANDS LÄN</t>
        </is>
      </c>
      <c r="E1136" t="inlineStr">
        <is>
          <t>ÅRJÄNG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15548-2025</t>
        </is>
      </c>
      <c r="B1137" s="1" t="n">
        <v>45747</v>
      </c>
      <c r="C1137" s="1" t="n">
        <v>46051</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6107-2024</t>
        </is>
      </c>
      <c r="B1138" s="1" t="n">
        <v>45337</v>
      </c>
      <c r="C1138" s="1" t="n">
        <v>46051</v>
      </c>
      <c r="D1138" t="inlineStr">
        <is>
          <t>VÄRMLANDS LÄN</t>
        </is>
      </c>
      <c r="E1138" t="inlineStr">
        <is>
          <t>ÅRJÄNG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54013-2023</t>
        </is>
      </c>
      <c r="B1139" s="1" t="n">
        <v>45231.81550925926</v>
      </c>
      <c r="C1139" s="1" t="n">
        <v>46051</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15308-2022</t>
        </is>
      </c>
      <c r="B1140" s="1" t="n">
        <v>44659.45865740741</v>
      </c>
      <c r="C1140" s="1" t="n">
        <v>46051</v>
      </c>
      <c r="D1140" t="inlineStr">
        <is>
          <t>VÄRMLANDS LÄN</t>
        </is>
      </c>
      <c r="E1140" t="inlineStr">
        <is>
          <t>ÅRJÄNG</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7114-2023</t>
        </is>
      </c>
      <c r="B1141" s="1" t="n">
        <v>44970.39068287037</v>
      </c>
      <c r="C1141" s="1" t="n">
        <v>46051</v>
      </c>
      <c r="D1141" t="inlineStr">
        <is>
          <t>VÄRMLANDS LÄN</t>
        </is>
      </c>
      <c r="E1141" t="inlineStr">
        <is>
          <t>ÅRJÄNG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59976-2022</t>
        </is>
      </c>
      <c r="B1142" s="1" t="n">
        <v>44901</v>
      </c>
      <c r="C1142" s="1" t="n">
        <v>46051</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3298-2025</t>
        </is>
      </c>
      <c r="B1143" s="1" t="n">
        <v>45679.64770833333</v>
      </c>
      <c r="C1143" s="1" t="n">
        <v>46051</v>
      </c>
      <c r="D1143" t="inlineStr">
        <is>
          <t>VÄRMLANDS LÄN</t>
        </is>
      </c>
      <c r="E1143" t="inlineStr">
        <is>
          <t>ÅRJÄNG</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41283-2023</t>
        </is>
      </c>
      <c r="B1144" s="1" t="n">
        <v>45174.57032407408</v>
      </c>
      <c r="C1144" s="1" t="n">
        <v>46051</v>
      </c>
      <c r="D1144" t="inlineStr">
        <is>
          <t>VÄRMLANDS LÄN</t>
        </is>
      </c>
      <c r="E1144" t="inlineStr">
        <is>
          <t>ÅRJÄNG</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36592-2024</t>
        </is>
      </c>
      <c r="B1145" s="1" t="n">
        <v>45537</v>
      </c>
      <c r="C1145" s="1" t="n">
        <v>46051</v>
      </c>
      <c r="D1145" t="inlineStr">
        <is>
          <t>VÄRMLANDS LÄN</t>
        </is>
      </c>
      <c r="E1145" t="inlineStr">
        <is>
          <t>ÅRJÄNG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56757-2023</t>
        </is>
      </c>
      <c r="B1146" s="1" t="n">
        <v>45244.37539351852</v>
      </c>
      <c r="C1146" s="1" t="n">
        <v>46051</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49891-2022</t>
        </is>
      </c>
      <c r="B1147" s="1" t="n">
        <v>44864</v>
      </c>
      <c r="C1147" s="1" t="n">
        <v>46051</v>
      </c>
      <c r="D1147" t="inlineStr">
        <is>
          <t>VÄRMLANDS LÄN</t>
        </is>
      </c>
      <c r="E1147" t="inlineStr">
        <is>
          <t>ÅRJÄNG</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59811-2023</t>
        </is>
      </c>
      <c r="B1148" s="1" t="n">
        <v>45254</v>
      </c>
      <c r="C1148" s="1" t="n">
        <v>46051</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24916-2024</t>
        </is>
      </c>
      <c r="B1149" s="1" t="n">
        <v>45461.6058449074</v>
      </c>
      <c r="C1149" s="1" t="n">
        <v>46051</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27692-2024</t>
        </is>
      </c>
      <c r="B1150" s="1" t="n">
        <v>45474</v>
      </c>
      <c r="C1150" s="1" t="n">
        <v>46051</v>
      </c>
      <c r="D1150" t="inlineStr">
        <is>
          <t>VÄRMLANDS LÄN</t>
        </is>
      </c>
      <c r="E1150" t="inlineStr">
        <is>
          <t>ÅRJÄNG</t>
        </is>
      </c>
      <c r="F1150" t="inlineStr">
        <is>
          <t>Övriga Aktiebolag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34425-2021</t>
        </is>
      </c>
      <c r="B1151" s="1" t="n">
        <v>44380</v>
      </c>
      <c r="C1151" s="1" t="n">
        <v>46051</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32973-2021</t>
        </is>
      </c>
      <c r="B1152" s="1" t="n">
        <v>44376</v>
      </c>
      <c r="C1152" s="1" t="n">
        <v>46051</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56333-2024</t>
        </is>
      </c>
      <c r="B1153" s="1" t="n">
        <v>45624.8005324074</v>
      </c>
      <c r="C1153" s="1" t="n">
        <v>46051</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61764-2022</t>
        </is>
      </c>
      <c r="B1154" s="1" t="n">
        <v>44911</v>
      </c>
      <c r="C1154" s="1" t="n">
        <v>46051</v>
      </c>
      <c r="D1154" t="inlineStr">
        <is>
          <t>VÄRMLANDS LÄN</t>
        </is>
      </c>
      <c r="E1154" t="inlineStr">
        <is>
          <t>ÅRJÄNG</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19052-2023</t>
        </is>
      </c>
      <c r="B1155" s="1" t="n">
        <v>45047</v>
      </c>
      <c r="C1155" s="1" t="n">
        <v>46051</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15570-2025</t>
        </is>
      </c>
      <c r="B1156" s="1" t="n">
        <v>45747</v>
      </c>
      <c r="C1156" s="1" t="n">
        <v>46051</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15572-2025</t>
        </is>
      </c>
      <c r="B1157" s="1" t="n">
        <v>45747</v>
      </c>
      <c r="C1157" s="1" t="n">
        <v>46051</v>
      </c>
      <c r="D1157" t="inlineStr">
        <is>
          <t>VÄRMLANDS LÄN</t>
        </is>
      </c>
      <c r="E1157" t="inlineStr">
        <is>
          <t>ÅRJÄNG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15578-2025</t>
        </is>
      </c>
      <c r="B1158" s="1" t="n">
        <v>45747</v>
      </c>
      <c r="C1158" s="1" t="n">
        <v>46051</v>
      </c>
      <c r="D1158" t="inlineStr">
        <is>
          <t>VÄRMLANDS LÄN</t>
        </is>
      </c>
      <c r="E1158" t="inlineStr">
        <is>
          <t>ÅRJÄNG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69417-2021</t>
        </is>
      </c>
      <c r="B1159" s="1" t="n">
        <v>44531</v>
      </c>
      <c r="C1159" s="1" t="n">
        <v>46051</v>
      </c>
      <c r="D1159" t="inlineStr">
        <is>
          <t>VÄRMLANDS LÄN</t>
        </is>
      </c>
      <c r="E1159" t="inlineStr">
        <is>
          <t>ÅRJÄNG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38482-2024</t>
        </is>
      </c>
      <c r="B1160" s="1" t="n">
        <v>45546</v>
      </c>
      <c r="C1160" s="1" t="n">
        <v>46051</v>
      </c>
      <c r="D1160" t="inlineStr">
        <is>
          <t>VÄRMLANDS LÄN</t>
        </is>
      </c>
      <c r="E1160" t="inlineStr">
        <is>
          <t>ÅRJÄNG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65837-2021</t>
        </is>
      </c>
      <c r="B1161" s="1" t="n">
        <v>44517.35402777778</v>
      </c>
      <c r="C1161" s="1" t="n">
        <v>46051</v>
      </c>
      <c r="D1161" t="inlineStr">
        <is>
          <t>VÄRMLANDS LÄN</t>
        </is>
      </c>
      <c r="E1161" t="inlineStr">
        <is>
          <t>ÅRJÄNG</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49405-2022</t>
        </is>
      </c>
      <c r="B1162" s="1" t="n">
        <v>44861.63182870371</v>
      </c>
      <c r="C1162" s="1" t="n">
        <v>46051</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44417-2021</t>
        </is>
      </c>
      <c r="B1163" s="1" t="n">
        <v>44435.50591435185</v>
      </c>
      <c r="C1163" s="1" t="n">
        <v>46051</v>
      </c>
      <c r="D1163" t="inlineStr">
        <is>
          <t>VÄRMLANDS LÄN</t>
        </is>
      </c>
      <c r="E1163" t="inlineStr">
        <is>
          <t>ÅRJÄNG</t>
        </is>
      </c>
      <c r="G1163" t="n">
        <v>32.2</v>
      </c>
      <c r="H1163" t="n">
        <v>0</v>
      </c>
      <c r="I1163" t="n">
        <v>0</v>
      </c>
      <c r="J1163" t="n">
        <v>0</v>
      </c>
      <c r="K1163" t="n">
        <v>0</v>
      </c>
      <c r="L1163" t="n">
        <v>0</v>
      </c>
      <c r="M1163" t="n">
        <v>0</v>
      </c>
      <c r="N1163" t="n">
        <v>0</v>
      </c>
      <c r="O1163" t="n">
        <v>0</v>
      </c>
      <c r="P1163" t="n">
        <v>0</v>
      </c>
      <c r="Q1163" t="n">
        <v>0</v>
      </c>
      <c r="R1163" s="2" t="inlineStr"/>
    </row>
    <row r="1164" ht="15" customHeight="1">
      <c r="A1164" t="inlineStr">
        <is>
          <t>A 21362-2022</t>
        </is>
      </c>
      <c r="B1164" s="1" t="n">
        <v>44705</v>
      </c>
      <c r="C1164" s="1" t="n">
        <v>46051</v>
      </c>
      <c r="D1164" t="inlineStr">
        <is>
          <t>VÄRMLANDS LÄN</t>
        </is>
      </c>
      <c r="E1164" t="inlineStr">
        <is>
          <t>ÅRJÄNG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65854-2021</t>
        </is>
      </c>
      <c r="B1165" s="1" t="n">
        <v>44517.37467592592</v>
      </c>
      <c r="C1165" s="1" t="n">
        <v>46051</v>
      </c>
      <c r="D1165" t="inlineStr">
        <is>
          <t>VÄRMLANDS LÄN</t>
        </is>
      </c>
      <c r="E1165" t="inlineStr">
        <is>
          <t>ÅRJÄNG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42149-2024</t>
        </is>
      </c>
      <c r="B1166" s="1" t="n">
        <v>45562.44591435185</v>
      </c>
      <c r="C1166" s="1" t="n">
        <v>46051</v>
      </c>
      <c r="D1166" t="inlineStr">
        <is>
          <t>VÄRMLANDS LÄN</t>
        </is>
      </c>
      <c r="E1166" t="inlineStr">
        <is>
          <t>ÅRJÄNG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8951-2021</t>
        </is>
      </c>
      <c r="B1167" s="1" t="n">
        <v>44246</v>
      </c>
      <c r="C1167" s="1" t="n">
        <v>46051</v>
      </c>
      <c r="D1167" t="inlineStr">
        <is>
          <t>VÄRMLANDS LÄN</t>
        </is>
      </c>
      <c r="E1167" t="inlineStr">
        <is>
          <t>ÅRJÄNG</t>
        </is>
      </c>
      <c r="F1167" t="inlineStr">
        <is>
          <t>Övriga Aktiebolag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47223-2021</t>
        </is>
      </c>
      <c r="B1168" s="1" t="n">
        <v>44446</v>
      </c>
      <c r="C1168" s="1" t="n">
        <v>46051</v>
      </c>
      <c r="D1168" t="inlineStr">
        <is>
          <t>VÄRMLANDS LÄN</t>
        </is>
      </c>
      <c r="E1168" t="inlineStr">
        <is>
          <t>ÅRJÄNG</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4748-2023</t>
        </is>
      </c>
      <c r="B1169" s="1" t="n">
        <v>44957</v>
      </c>
      <c r="C1169" s="1" t="n">
        <v>46051</v>
      </c>
      <c r="D1169" t="inlineStr">
        <is>
          <t>VÄRMLANDS LÄN</t>
        </is>
      </c>
      <c r="E1169" t="inlineStr">
        <is>
          <t>ÅRJÄNG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43244-2023</t>
        </is>
      </c>
      <c r="B1170" s="1" t="n">
        <v>45183.48121527778</v>
      </c>
      <c r="C1170" s="1" t="n">
        <v>46051</v>
      </c>
      <c r="D1170" t="inlineStr">
        <is>
          <t>VÄRMLANDS LÄN</t>
        </is>
      </c>
      <c r="E1170" t="inlineStr">
        <is>
          <t>ÅRJÄNG</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42141-2024</t>
        </is>
      </c>
      <c r="B1171" s="1" t="n">
        <v>45562.43354166667</v>
      </c>
      <c r="C1171" s="1" t="n">
        <v>46051</v>
      </c>
      <c r="D1171" t="inlineStr">
        <is>
          <t>VÄRMLANDS LÄN</t>
        </is>
      </c>
      <c r="E1171" t="inlineStr">
        <is>
          <t>ÅRJÄNG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11026-2023</t>
        </is>
      </c>
      <c r="B1172" s="1" t="n">
        <v>44991</v>
      </c>
      <c r="C1172" s="1" t="n">
        <v>46051</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42455-2024</t>
        </is>
      </c>
      <c r="B1173" s="1" t="n">
        <v>45565</v>
      </c>
      <c r="C1173" s="1" t="n">
        <v>46051</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49673-2022</t>
        </is>
      </c>
      <c r="B1174" s="1" t="n">
        <v>44862.47881944444</v>
      </c>
      <c r="C1174" s="1" t="n">
        <v>46051</v>
      </c>
      <c r="D1174" t="inlineStr">
        <is>
          <t>VÄRMLANDS LÄN</t>
        </is>
      </c>
      <c r="E1174" t="inlineStr">
        <is>
          <t>ÅRJÄNG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54335-2021</t>
        </is>
      </c>
      <c r="B1175" s="1" t="n">
        <v>44472.93063657408</v>
      </c>
      <c r="C1175" s="1" t="n">
        <v>46051</v>
      </c>
      <c r="D1175" t="inlineStr">
        <is>
          <t>VÄRMLANDS LÄN</t>
        </is>
      </c>
      <c r="E1175" t="inlineStr">
        <is>
          <t>ÅRJÄNG</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11176-2023</t>
        </is>
      </c>
      <c r="B1176" s="1" t="n">
        <v>44987</v>
      </c>
      <c r="C1176" s="1" t="n">
        <v>46051</v>
      </c>
      <c r="D1176" t="inlineStr">
        <is>
          <t>VÄRMLANDS LÄN</t>
        </is>
      </c>
      <c r="E1176" t="inlineStr">
        <is>
          <t>ÅRJÄNG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8678-2022</t>
        </is>
      </c>
      <c r="B1177" s="1" t="n">
        <v>44613.68043981482</v>
      </c>
      <c r="C1177" s="1" t="n">
        <v>46051</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61009-2022</t>
        </is>
      </c>
      <c r="B1178" s="1" t="n">
        <v>44914.7541550926</v>
      </c>
      <c r="C1178" s="1" t="n">
        <v>46051</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34574-2023</t>
        </is>
      </c>
      <c r="B1179" s="1" t="n">
        <v>45135</v>
      </c>
      <c r="C1179" s="1" t="n">
        <v>46051</v>
      </c>
      <c r="D1179" t="inlineStr">
        <is>
          <t>VÄRMLANDS LÄN</t>
        </is>
      </c>
      <c r="E1179" t="inlineStr">
        <is>
          <t>ÅRJÄNG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48293-2022</t>
        </is>
      </c>
      <c r="B1180" s="1" t="n">
        <v>44858.51623842592</v>
      </c>
      <c r="C1180" s="1" t="n">
        <v>46051</v>
      </c>
      <c r="D1180" t="inlineStr">
        <is>
          <t>VÄRMLANDS LÄN</t>
        </is>
      </c>
      <c r="E1180" t="inlineStr">
        <is>
          <t>ÅRJÄNG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38433-2024</t>
        </is>
      </c>
      <c r="B1181" s="1" t="n">
        <v>45546</v>
      </c>
      <c r="C1181" s="1" t="n">
        <v>46051</v>
      </c>
      <c r="D1181" t="inlineStr">
        <is>
          <t>VÄRMLANDS LÄN</t>
        </is>
      </c>
      <c r="E1181" t="inlineStr">
        <is>
          <t>ÅRJÄNG</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7746-2022</t>
        </is>
      </c>
      <c r="B1182" s="1" t="n">
        <v>44608.39331018519</v>
      </c>
      <c r="C1182" s="1" t="n">
        <v>46051</v>
      </c>
      <c r="D1182" t="inlineStr">
        <is>
          <t>VÄRMLANDS LÄN</t>
        </is>
      </c>
      <c r="E1182" t="inlineStr">
        <is>
          <t>ÅRJÄNG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34410-2023</t>
        </is>
      </c>
      <c r="B1183" s="1" t="n">
        <v>45139.56870370371</v>
      </c>
      <c r="C1183" s="1" t="n">
        <v>46051</v>
      </c>
      <c r="D1183" t="inlineStr">
        <is>
          <t>VÄRMLANDS LÄN</t>
        </is>
      </c>
      <c r="E1183" t="inlineStr">
        <is>
          <t>ÅRJÄNG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7537-2021</t>
        </is>
      </c>
      <c r="B1184" s="1" t="n">
        <v>44239</v>
      </c>
      <c r="C1184" s="1" t="n">
        <v>46051</v>
      </c>
      <c r="D1184" t="inlineStr">
        <is>
          <t>VÄRMLANDS LÄN</t>
        </is>
      </c>
      <c r="E1184" t="inlineStr">
        <is>
          <t>ÅRJÄNG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50301-2024</t>
        </is>
      </c>
      <c r="B1185" s="1" t="n">
        <v>45600</v>
      </c>
      <c r="C1185" s="1" t="n">
        <v>46051</v>
      </c>
      <c r="D1185" t="inlineStr">
        <is>
          <t>VÄRMLANDS LÄN</t>
        </is>
      </c>
      <c r="E1185" t="inlineStr">
        <is>
          <t>ÅRJÄNG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15616-2023</t>
        </is>
      </c>
      <c r="B1186" s="1" t="n">
        <v>45020.88847222222</v>
      </c>
      <c r="C1186" s="1" t="n">
        <v>46051</v>
      </c>
      <c r="D1186" t="inlineStr">
        <is>
          <t>VÄRMLANDS LÄN</t>
        </is>
      </c>
      <c r="E1186" t="inlineStr">
        <is>
          <t>ÅRJÄNG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5342-2022</t>
        </is>
      </c>
      <c r="B1187" s="1" t="n">
        <v>44594.72582175926</v>
      </c>
      <c r="C1187" s="1" t="n">
        <v>46051</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25654-2024</t>
        </is>
      </c>
      <c r="B1188" s="1" t="n">
        <v>45463</v>
      </c>
      <c r="C1188" s="1" t="n">
        <v>46051</v>
      </c>
      <c r="D1188" t="inlineStr">
        <is>
          <t>VÄRMLANDS LÄN</t>
        </is>
      </c>
      <c r="E1188" t="inlineStr">
        <is>
          <t>ÅRJÄNG</t>
        </is>
      </c>
      <c r="G1188" t="n">
        <v>16.9</v>
      </c>
      <c r="H1188" t="n">
        <v>0</v>
      </c>
      <c r="I1188" t="n">
        <v>0</v>
      </c>
      <c r="J1188" t="n">
        <v>0</v>
      </c>
      <c r="K1188" t="n">
        <v>0</v>
      </c>
      <c r="L1188" t="n">
        <v>0</v>
      </c>
      <c r="M1188" t="n">
        <v>0</v>
      </c>
      <c r="N1188" t="n">
        <v>0</v>
      </c>
      <c r="O1188" t="n">
        <v>0</v>
      </c>
      <c r="P1188" t="n">
        <v>0</v>
      </c>
      <c r="Q1188" t="n">
        <v>0</v>
      </c>
      <c r="R1188" s="2" t="inlineStr"/>
    </row>
    <row r="1189" ht="15" customHeight="1">
      <c r="A1189" t="inlineStr">
        <is>
          <t>A 30548-2023</t>
        </is>
      </c>
      <c r="B1189" s="1" t="n">
        <v>45111.77894675926</v>
      </c>
      <c r="C1189" s="1" t="n">
        <v>46051</v>
      </c>
      <c r="D1189" t="inlineStr">
        <is>
          <t>VÄRMLANDS LÄN</t>
        </is>
      </c>
      <c r="E1189" t="inlineStr">
        <is>
          <t>ÅRJÄNG</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32776-2024</t>
        </is>
      </c>
      <c r="B1190" s="1" t="n">
        <v>45516</v>
      </c>
      <c r="C1190" s="1" t="n">
        <v>46051</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17174-2023</t>
        </is>
      </c>
      <c r="B1191" s="1" t="n">
        <v>45034</v>
      </c>
      <c r="C1191" s="1" t="n">
        <v>46051</v>
      </c>
      <c r="D1191" t="inlineStr">
        <is>
          <t>VÄRMLANDS LÄN</t>
        </is>
      </c>
      <c r="E1191" t="inlineStr">
        <is>
          <t>ÅRJÄNG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44385-2022</t>
        </is>
      </c>
      <c r="B1192" s="1" t="n">
        <v>44839</v>
      </c>
      <c r="C1192" s="1" t="n">
        <v>46051</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68180-2021</t>
        </is>
      </c>
      <c r="B1193" s="1" t="n">
        <v>44526.48689814815</v>
      </c>
      <c r="C1193" s="1" t="n">
        <v>46051</v>
      </c>
      <c r="D1193" t="inlineStr">
        <is>
          <t>VÄRMLANDS LÄN</t>
        </is>
      </c>
      <c r="E1193" t="inlineStr">
        <is>
          <t>ÅRJÄNG</t>
        </is>
      </c>
      <c r="F1193" t="inlineStr">
        <is>
          <t>Kyrkan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28384-2022</t>
        </is>
      </c>
      <c r="B1194" s="1" t="n">
        <v>44747</v>
      </c>
      <c r="C1194" s="1" t="n">
        <v>46051</v>
      </c>
      <c r="D1194" t="inlineStr">
        <is>
          <t>VÄRMLANDS LÄN</t>
        </is>
      </c>
      <c r="E1194" t="inlineStr">
        <is>
          <t>ÅRJÄNG</t>
        </is>
      </c>
      <c r="F1194" t="inlineStr">
        <is>
          <t>Naturvårdsverket</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47623-2024</t>
        </is>
      </c>
      <c r="B1195" s="1" t="n">
        <v>45588.33216435185</v>
      </c>
      <c r="C1195" s="1" t="n">
        <v>46051</v>
      </c>
      <c r="D1195" t="inlineStr">
        <is>
          <t>VÄRMLANDS LÄN</t>
        </is>
      </c>
      <c r="E1195" t="inlineStr">
        <is>
          <t>ÅRJÄNG</t>
        </is>
      </c>
      <c r="F1195" t="inlineStr">
        <is>
          <t>Kommuner</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23203-2023</t>
        </is>
      </c>
      <c r="B1196" s="1" t="n">
        <v>45075.61314814815</v>
      </c>
      <c r="C1196" s="1" t="n">
        <v>46051</v>
      </c>
      <c r="D1196" t="inlineStr">
        <is>
          <t>VÄRMLANDS LÄN</t>
        </is>
      </c>
      <c r="E1196" t="inlineStr">
        <is>
          <t>ÅRJÄNG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23212-2023</t>
        </is>
      </c>
      <c r="B1197" s="1" t="n">
        <v>45075.63211805555</v>
      </c>
      <c r="C1197" s="1" t="n">
        <v>46051</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24505-2023</t>
        </is>
      </c>
      <c r="B1198" s="1" t="n">
        <v>45082</v>
      </c>
      <c r="C1198" s="1" t="n">
        <v>46051</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56314-2024</t>
        </is>
      </c>
      <c r="B1199" s="1" t="n">
        <v>45624.72149305556</v>
      </c>
      <c r="C1199" s="1" t="n">
        <v>46051</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59622-2022</t>
        </is>
      </c>
      <c r="B1200" s="1" t="n">
        <v>44907.89939814815</v>
      </c>
      <c r="C1200" s="1" t="n">
        <v>46051</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45929-2024</t>
        </is>
      </c>
      <c r="B1201" s="1" t="n">
        <v>45580</v>
      </c>
      <c r="C1201" s="1" t="n">
        <v>46051</v>
      </c>
      <c r="D1201" t="inlineStr">
        <is>
          <t>VÄRMLANDS LÄN</t>
        </is>
      </c>
      <c r="E1201" t="inlineStr">
        <is>
          <t>ÅRJÄNG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45876-2024</t>
        </is>
      </c>
      <c r="B1202" s="1" t="n">
        <v>45580</v>
      </c>
      <c r="C1202" s="1" t="n">
        <v>46051</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47647-2021</t>
        </is>
      </c>
      <c r="B1203" s="1" t="n">
        <v>44448.40790509259</v>
      </c>
      <c r="C1203" s="1" t="n">
        <v>46051</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23870-2023</t>
        </is>
      </c>
      <c r="B1204" s="1" t="n">
        <v>45078</v>
      </c>
      <c r="C1204" s="1" t="n">
        <v>46051</v>
      </c>
      <c r="D1204" t="inlineStr">
        <is>
          <t>VÄRMLANDS LÄN</t>
        </is>
      </c>
      <c r="E1204" t="inlineStr">
        <is>
          <t>ÅRJÄNG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45962-2021</t>
        </is>
      </c>
      <c r="B1205" s="1" t="n">
        <v>44441</v>
      </c>
      <c r="C1205" s="1" t="n">
        <v>46051</v>
      </c>
      <c r="D1205" t="inlineStr">
        <is>
          <t>VÄRMLANDS LÄN</t>
        </is>
      </c>
      <c r="E1205" t="inlineStr">
        <is>
          <t>ÅRJÄNG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60126-2024</t>
        </is>
      </c>
      <c r="B1206" s="1" t="n">
        <v>45642.5919212963</v>
      </c>
      <c r="C1206" s="1" t="n">
        <v>46051</v>
      </c>
      <c r="D1206" t="inlineStr">
        <is>
          <t>VÄRMLANDS LÄN</t>
        </is>
      </c>
      <c r="E1206" t="inlineStr">
        <is>
          <t>ÅRJÄNG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12907-2022</t>
        </is>
      </c>
      <c r="B1207" s="1" t="n">
        <v>44642.62002314815</v>
      </c>
      <c r="C1207" s="1" t="n">
        <v>46051</v>
      </c>
      <c r="D1207" t="inlineStr">
        <is>
          <t>VÄRMLANDS LÄN</t>
        </is>
      </c>
      <c r="E1207" t="inlineStr">
        <is>
          <t>ÅRJÄNG</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13060-2022</t>
        </is>
      </c>
      <c r="B1208" s="1" t="n">
        <v>44643</v>
      </c>
      <c r="C1208" s="1" t="n">
        <v>46051</v>
      </c>
      <c r="D1208" t="inlineStr">
        <is>
          <t>VÄRMLANDS LÄN</t>
        </is>
      </c>
      <c r="E1208" t="inlineStr">
        <is>
          <t>ÅRJÄNG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13160-2022</t>
        </is>
      </c>
      <c r="B1209" s="1" t="n">
        <v>44644.43545138889</v>
      </c>
      <c r="C1209" s="1" t="n">
        <v>46051</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8885-2021</t>
        </is>
      </c>
      <c r="B1210" s="1" t="n">
        <v>44248</v>
      </c>
      <c r="C1210" s="1" t="n">
        <v>46051</v>
      </c>
      <c r="D1210" t="inlineStr">
        <is>
          <t>VÄRMLANDS LÄN</t>
        </is>
      </c>
      <c r="E1210" t="inlineStr">
        <is>
          <t>ÅRJÄNG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60930-2021</t>
        </is>
      </c>
      <c r="B1211" s="1" t="n">
        <v>44497.46921296296</v>
      </c>
      <c r="C1211" s="1" t="n">
        <v>46051</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12209-2023</t>
        </is>
      </c>
      <c r="B1212" s="1" t="n">
        <v>44998</v>
      </c>
      <c r="C1212" s="1" t="n">
        <v>46051</v>
      </c>
      <c r="D1212" t="inlineStr">
        <is>
          <t>VÄRMLANDS LÄN</t>
        </is>
      </c>
      <c r="E1212" t="inlineStr">
        <is>
          <t>ÅRJÄNG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26866-2024</t>
        </is>
      </c>
      <c r="B1213" s="1" t="n">
        <v>45470</v>
      </c>
      <c r="C1213" s="1" t="n">
        <v>46051</v>
      </c>
      <c r="D1213" t="inlineStr">
        <is>
          <t>VÄRMLANDS LÄN</t>
        </is>
      </c>
      <c r="E1213" t="inlineStr">
        <is>
          <t>ÅRJÄNG</t>
        </is>
      </c>
      <c r="F1213" t="inlineStr">
        <is>
          <t>Kyrkan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49133-2024</t>
        </is>
      </c>
      <c r="B1214" s="1" t="n">
        <v>45594</v>
      </c>
      <c r="C1214" s="1" t="n">
        <v>46051</v>
      </c>
      <c r="D1214" t="inlineStr">
        <is>
          <t>VÄRMLANDS LÄN</t>
        </is>
      </c>
      <c r="E1214" t="inlineStr">
        <is>
          <t>ÅRJÄNG</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12740-2025</t>
        </is>
      </c>
      <c r="B1215" s="1" t="n">
        <v>45733</v>
      </c>
      <c r="C1215" s="1" t="n">
        <v>46051</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1415-2025</t>
        </is>
      </c>
      <c r="B1216" s="1" t="n">
        <v>45668.32795138889</v>
      </c>
      <c r="C1216" s="1" t="n">
        <v>46051</v>
      </c>
      <c r="D1216" t="inlineStr">
        <is>
          <t>VÄRMLANDS LÄN</t>
        </is>
      </c>
      <c r="E1216" t="inlineStr">
        <is>
          <t>ÅRJÄNG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15300-2025</t>
        </is>
      </c>
      <c r="B1217" s="1" t="n">
        <v>45746</v>
      </c>
      <c r="C1217" s="1" t="n">
        <v>46051</v>
      </c>
      <c r="D1217" t="inlineStr">
        <is>
          <t>VÄRMLANDS LÄN</t>
        </is>
      </c>
      <c r="E1217" t="inlineStr">
        <is>
          <t>ÅRJÄNG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6962-2025</t>
        </is>
      </c>
      <c r="B1218" s="1" t="n">
        <v>45701</v>
      </c>
      <c r="C1218" s="1" t="n">
        <v>46051</v>
      </c>
      <c r="D1218" t="inlineStr">
        <is>
          <t>VÄRMLANDS LÄN</t>
        </is>
      </c>
      <c r="E1218" t="inlineStr">
        <is>
          <t>ÅRJÄNG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46249-2023</t>
        </is>
      </c>
      <c r="B1219" s="1" t="n">
        <v>45196.89337962963</v>
      </c>
      <c r="C1219" s="1" t="n">
        <v>46051</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21392-2023</t>
        </is>
      </c>
      <c r="B1220" s="1" t="n">
        <v>45061</v>
      </c>
      <c r="C1220" s="1" t="n">
        <v>46051</v>
      </c>
      <c r="D1220" t="inlineStr">
        <is>
          <t>VÄRMLANDS LÄN</t>
        </is>
      </c>
      <c r="E1220" t="inlineStr">
        <is>
          <t>ÅRJÄNG</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44140-2024</t>
        </is>
      </c>
      <c r="B1221" s="1" t="n">
        <v>45572</v>
      </c>
      <c r="C1221" s="1" t="n">
        <v>46051</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9441-2021</t>
        </is>
      </c>
      <c r="B1222" s="1" t="n">
        <v>44251</v>
      </c>
      <c r="C1222" s="1" t="n">
        <v>46051</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7184-2024</t>
        </is>
      </c>
      <c r="B1223" s="1" t="n">
        <v>45344</v>
      </c>
      <c r="C1223" s="1" t="n">
        <v>46051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480-2025</t>
        </is>
      </c>
      <c r="B1224" s="1" t="n">
        <v>45664</v>
      </c>
      <c r="C1224" s="1" t="n">
        <v>46051</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2253-2025</t>
        </is>
      </c>
      <c r="B1225" s="1" t="n">
        <v>45673</v>
      </c>
      <c r="C1225" s="1" t="n">
        <v>46051</v>
      </c>
      <c r="D1225" t="inlineStr">
        <is>
          <t>VÄRMLANDS LÄN</t>
        </is>
      </c>
      <c r="E1225" t="inlineStr">
        <is>
          <t>ÅRJÄNG</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4976-2025</t>
        </is>
      </c>
      <c r="B1226" s="1" t="n">
        <v>45690.86565972222</v>
      </c>
      <c r="C1226" s="1" t="n">
        <v>46051</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13726-2024</t>
        </is>
      </c>
      <c r="B1227" s="1" t="n">
        <v>45390.68759259259</v>
      </c>
      <c r="C1227" s="1" t="n">
        <v>46051</v>
      </c>
      <c r="D1227" t="inlineStr">
        <is>
          <t>VÄRMLANDS LÄN</t>
        </is>
      </c>
      <c r="E1227" t="inlineStr">
        <is>
          <t>ÅRJÄNG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12068-2022</t>
        </is>
      </c>
      <c r="B1228" s="1" t="n">
        <v>44636</v>
      </c>
      <c r="C1228" s="1" t="n">
        <v>46051</v>
      </c>
      <c r="D1228" t="inlineStr">
        <is>
          <t>VÄRMLANDS LÄN</t>
        </is>
      </c>
      <c r="E1228" t="inlineStr">
        <is>
          <t>ÅRJÄNG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54437-2021</t>
        </is>
      </c>
      <c r="B1229" s="1" t="n">
        <v>44459</v>
      </c>
      <c r="C1229" s="1" t="n">
        <v>46051</v>
      </c>
      <c r="D1229" t="inlineStr">
        <is>
          <t>VÄRMLANDS LÄN</t>
        </is>
      </c>
      <c r="E1229" t="inlineStr">
        <is>
          <t>ÅRJÄNG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13814-2024</t>
        </is>
      </c>
      <c r="B1230" s="1" t="n">
        <v>45391</v>
      </c>
      <c r="C1230" s="1" t="n">
        <v>46051</v>
      </c>
      <c r="D1230" t="inlineStr">
        <is>
          <t>VÄRMLANDS LÄN</t>
        </is>
      </c>
      <c r="E1230" t="inlineStr">
        <is>
          <t>ÅRJÄNG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13819-2024</t>
        </is>
      </c>
      <c r="B1231" s="1" t="n">
        <v>45391.42252314815</v>
      </c>
      <c r="C1231" s="1" t="n">
        <v>46051</v>
      </c>
      <c r="D1231" t="inlineStr">
        <is>
          <t>VÄRMLANDS LÄN</t>
        </is>
      </c>
      <c r="E1231" t="inlineStr">
        <is>
          <t>ÅRJÄNG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12082-2023</t>
        </is>
      </c>
      <c r="B1232" s="1" t="n">
        <v>44997.78215277778</v>
      </c>
      <c r="C1232" s="1" t="n">
        <v>46051</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61913-2024</t>
        </is>
      </c>
      <c r="B1233" s="1" t="n">
        <v>45653.38708333333</v>
      </c>
      <c r="C1233" s="1" t="n">
        <v>46051</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5931-2023</t>
        </is>
      </c>
      <c r="B1234" s="1" t="n">
        <v>44963</v>
      </c>
      <c r="C1234" s="1" t="n">
        <v>46051</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33728-2021</t>
        </is>
      </c>
      <c r="B1235" s="1" t="n">
        <v>44378.47640046296</v>
      </c>
      <c r="C1235" s="1" t="n">
        <v>46051</v>
      </c>
      <c r="D1235" t="inlineStr">
        <is>
          <t>VÄRMLANDS LÄN</t>
        </is>
      </c>
      <c r="E1235" t="inlineStr">
        <is>
          <t>ÅRJÄNG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13317-2025</t>
        </is>
      </c>
      <c r="B1236" s="1" t="n">
        <v>45735.59452546296</v>
      </c>
      <c r="C1236" s="1" t="n">
        <v>46051</v>
      </c>
      <c r="D1236" t="inlineStr">
        <is>
          <t>VÄRMLANDS LÄN</t>
        </is>
      </c>
      <c r="E1236" t="inlineStr">
        <is>
          <t>ÅRJÄNG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64903-2023</t>
        </is>
      </c>
      <c r="B1237" s="1" t="n">
        <v>45282</v>
      </c>
      <c r="C1237" s="1" t="n">
        <v>46051</v>
      </c>
      <c r="D1237" t="inlineStr">
        <is>
          <t>VÄRMLANDS LÄN</t>
        </is>
      </c>
      <c r="E1237" t="inlineStr">
        <is>
          <t>ÅRJÄNG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17878-2024</t>
        </is>
      </c>
      <c r="B1238" s="1" t="n">
        <v>45419</v>
      </c>
      <c r="C1238" s="1" t="n">
        <v>46051</v>
      </c>
      <c r="D1238" t="inlineStr">
        <is>
          <t>VÄRMLANDS LÄN</t>
        </is>
      </c>
      <c r="E1238" t="inlineStr">
        <is>
          <t>ÅRJÄNG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64151-2023</t>
        </is>
      </c>
      <c r="B1239" s="1" t="n">
        <v>45279.58803240741</v>
      </c>
      <c r="C1239" s="1" t="n">
        <v>46051</v>
      </c>
      <c r="D1239" t="inlineStr">
        <is>
          <t>VÄRMLANDS LÄN</t>
        </is>
      </c>
      <c r="E1239" t="inlineStr">
        <is>
          <t>ÅRJÄNG</t>
        </is>
      </c>
      <c r="G1239" t="n">
        <v>24.5</v>
      </c>
      <c r="H1239" t="n">
        <v>0</v>
      </c>
      <c r="I1239" t="n">
        <v>0</v>
      </c>
      <c r="J1239" t="n">
        <v>0</v>
      </c>
      <c r="K1239" t="n">
        <v>0</v>
      </c>
      <c r="L1239" t="n">
        <v>0</v>
      </c>
      <c r="M1239" t="n">
        <v>0</v>
      </c>
      <c r="N1239" t="n">
        <v>0</v>
      </c>
      <c r="O1239" t="n">
        <v>0</v>
      </c>
      <c r="P1239" t="n">
        <v>0</v>
      </c>
      <c r="Q1239" t="n">
        <v>0</v>
      </c>
      <c r="R1239" s="2" t="inlineStr"/>
    </row>
    <row r="1240" ht="15" customHeight="1">
      <c r="A1240" t="inlineStr">
        <is>
          <t>A 8838-2023</t>
        </is>
      </c>
      <c r="B1240" s="1" t="n">
        <v>44978</v>
      </c>
      <c r="C1240" s="1" t="n">
        <v>46051</v>
      </c>
      <c r="D1240" t="inlineStr">
        <is>
          <t>VÄRMLANDS LÄN</t>
        </is>
      </c>
      <c r="E1240" t="inlineStr">
        <is>
          <t>ÅRJÄNG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51258-2022</t>
        </is>
      </c>
      <c r="B1241" s="1" t="n">
        <v>44868.67460648148</v>
      </c>
      <c r="C1241" s="1" t="n">
        <v>46051</v>
      </c>
      <c r="D1241" t="inlineStr">
        <is>
          <t>VÄRMLANDS LÄN</t>
        </is>
      </c>
      <c r="E1241" t="inlineStr">
        <is>
          <t>ÅRJÄNG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23847-2023</t>
        </is>
      </c>
      <c r="B1242" s="1" t="n">
        <v>45078</v>
      </c>
      <c r="C1242" s="1" t="n">
        <v>46051</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15327-2022</t>
        </is>
      </c>
      <c r="B1243" s="1" t="n">
        <v>44659</v>
      </c>
      <c r="C1243" s="1" t="n">
        <v>46051</v>
      </c>
      <c r="D1243" t="inlineStr">
        <is>
          <t>VÄRMLANDS LÄN</t>
        </is>
      </c>
      <c r="E1243" t="inlineStr">
        <is>
          <t>ÅRJÄNG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71812-2021</t>
        </is>
      </c>
      <c r="B1244" s="1" t="n">
        <v>44539</v>
      </c>
      <c r="C1244" s="1" t="n">
        <v>46051</v>
      </c>
      <c r="D1244" t="inlineStr">
        <is>
          <t>VÄRMLANDS LÄN</t>
        </is>
      </c>
      <c r="E1244" t="inlineStr">
        <is>
          <t>ÅRJÄNG</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34580-2023</t>
        </is>
      </c>
      <c r="B1245" s="1" t="n">
        <v>45135</v>
      </c>
      <c r="C1245" s="1" t="n">
        <v>46051</v>
      </c>
      <c r="D1245" t="inlineStr">
        <is>
          <t>VÄRMLANDS LÄN</t>
        </is>
      </c>
      <c r="E1245" t="inlineStr">
        <is>
          <t>ÅRJÄNG</t>
        </is>
      </c>
      <c r="F1245" t="inlineStr">
        <is>
          <t>Övriga Aktiebolag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15164-2023</t>
        </is>
      </c>
      <c r="B1246" s="1" t="n">
        <v>45016.59475694445</v>
      </c>
      <c r="C1246" s="1" t="n">
        <v>46051</v>
      </c>
      <c r="D1246" t="inlineStr">
        <is>
          <t>VÄRMLANDS LÄN</t>
        </is>
      </c>
      <c r="E1246" t="inlineStr">
        <is>
          <t>ÅRJÄNG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39187-2024</t>
        </is>
      </c>
      <c r="B1247" s="1" t="n">
        <v>45548.66915509259</v>
      </c>
      <c r="C1247" s="1" t="n">
        <v>46051</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24483-2024</t>
        </is>
      </c>
      <c r="B1248" s="1" t="n">
        <v>45459</v>
      </c>
      <c r="C1248" s="1" t="n">
        <v>46051</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24273-2023</t>
        </is>
      </c>
      <c r="B1249" s="1" t="n">
        <v>45079.6764699074</v>
      </c>
      <c r="C1249" s="1" t="n">
        <v>46051</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56940-2024</t>
        </is>
      </c>
      <c r="B1250" s="1" t="n">
        <v>45628.61755787037</v>
      </c>
      <c r="C1250" s="1" t="n">
        <v>46051</v>
      </c>
      <c r="D1250" t="inlineStr">
        <is>
          <t>VÄRMLANDS LÄN</t>
        </is>
      </c>
      <c r="E1250" t="inlineStr">
        <is>
          <t>ÅRJÄNG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36344-2023</t>
        </is>
      </c>
      <c r="B1251" s="1" t="n">
        <v>45152</v>
      </c>
      <c r="C1251" s="1" t="n">
        <v>46051</v>
      </c>
      <c r="D1251" t="inlineStr">
        <is>
          <t>VÄRMLANDS LÄN</t>
        </is>
      </c>
      <c r="E1251" t="inlineStr">
        <is>
          <t>ÅRJÄNG</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23904-2023</t>
        </is>
      </c>
      <c r="B1252" s="1" t="n">
        <v>45078.55413194445</v>
      </c>
      <c r="C1252" s="1" t="n">
        <v>46051</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21177-2023</t>
        </is>
      </c>
      <c r="B1253" s="1" t="n">
        <v>45062</v>
      </c>
      <c r="C1253" s="1" t="n">
        <v>46051</v>
      </c>
      <c r="D1253" t="inlineStr">
        <is>
          <t>VÄRMLANDS LÄN</t>
        </is>
      </c>
      <c r="E1253" t="inlineStr">
        <is>
          <t>ÅRJÄNG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46317-2024</t>
        </is>
      </c>
      <c r="B1254" s="1" t="n">
        <v>45581.74462962963</v>
      </c>
      <c r="C1254" s="1" t="n">
        <v>46051</v>
      </c>
      <c r="D1254" t="inlineStr">
        <is>
          <t>VÄRMLANDS LÄN</t>
        </is>
      </c>
      <c r="E1254" t="inlineStr">
        <is>
          <t>ÅRJÄNG</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1580-2025</t>
        </is>
      </c>
      <c r="B1255" s="1" t="n">
        <v>45670</v>
      </c>
      <c r="C1255" s="1" t="n">
        <v>46051</v>
      </c>
      <c r="D1255" t="inlineStr">
        <is>
          <t>VÄRMLANDS LÄN</t>
        </is>
      </c>
      <c r="E1255" t="inlineStr">
        <is>
          <t>ÅRJÄNG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39557-2023</t>
        </is>
      </c>
      <c r="B1256" s="1" t="n">
        <v>45167.38633101852</v>
      </c>
      <c r="C1256" s="1" t="n">
        <v>46051</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2551-2025</t>
        </is>
      </c>
      <c r="B1257" s="1" t="n">
        <v>45674.63969907408</v>
      </c>
      <c r="C1257" s="1" t="n">
        <v>46051</v>
      </c>
      <c r="D1257" t="inlineStr">
        <is>
          <t>VÄRMLANDS LÄN</t>
        </is>
      </c>
      <c r="E1257" t="inlineStr">
        <is>
          <t>ÅRJÄNG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3848-2025</t>
        </is>
      </c>
      <c r="B1258" s="1" t="n">
        <v>45683</v>
      </c>
      <c r="C1258" s="1" t="n">
        <v>46051</v>
      </c>
      <c r="D1258" t="inlineStr">
        <is>
          <t>VÄRMLANDS LÄN</t>
        </is>
      </c>
      <c r="E1258" t="inlineStr">
        <is>
          <t>ÅRJÄNG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47833-2023</t>
        </is>
      </c>
      <c r="B1259" s="1" t="n">
        <v>45204.36287037037</v>
      </c>
      <c r="C1259" s="1" t="n">
        <v>46051</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40352-2023</t>
        </is>
      </c>
      <c r="B1260" s="1" t="n">
        <v>45168</v>
      </c>
      <c r="C1260" s="1" t="n">
        <v>46051</v>
      </c>
      <c r="D1260" t="inlineStr">
        <is>
          <t>VÄRMLANDS LÄN</t>
        </is>
      </c>
      <c r="E1260" t="inlineStr">
        <is>
          <t>ÅRJÄNG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55167-2024</t>
        </is>
      </c>
      <c r="B1261" s="1" t="n">
        <v>45621</v>
      </c>
      <c r="C1261" s="1" t="n">
        <v>46051</v>
      </c>
      <c r="D1261" t="inlineStr">
        <is>
          <t>VÄRMLANDS LÄN</t>
        </is>
      </c>
      <c r="E1261" t="inlineStr">
        <is>
          <t>ÅRJÄNG</t>
        </is>
      </c>
      <c r="F1261" t="inlineStr">
        <is>
          <t>Bergvik skog väst AB</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33017-2022</t>
        </is>
      </c>
      <c r="B1262" s="1" t="n">
        <v>44785.32934027778</v>
      </c>
      <c r="C1262" s="1" t="n">
        <v>46051</v>
      </c>
      <c r="D1262" t="inlineStr">
        <is>
          <t>VÄRMLANDS LÄN</t>
        </is>
      </c>
      <c r="E1262" t="inlineStr">
        <is>
          <t>ÅRJÄNG</t>
        </is>
      </c>
      <c r="F1262" t="inlineStr">
        <is>
          <t>Kyrkan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16383-2022</t>
        </is>
      </c>
      <c r="B1263" s="1" t="n">
        <v>44671</v>
      </c>
      <c r="C1263" s="1" t="n">
        <v>46051</v>
      </c>
      <c r="D1263" t="inlineStr">
        <is>
          <t>VÄRMLANDS LÄN</t>
        </is>
      </c>
      <c r="E1263" t="inlineStr">
        <is>
          <t>ÅRJÄNG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13620-2023</t>
        </is>
      </c>
      <c r="B1264" s="1" t="n">
        <v>45006</v>
      </c>
      <c r="C1264" s="1" t="n">
        <v>46051</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16666-2025</t>
        </is>
      </c>
      <c r="B1265" s="1" t="n">
        <v>45754</v>
      </c>
      <c r="C1265" s="1" t="n">
        <v>46051</v>
      </c>
      <c r="D1265" t="inlineStr">
        <is>
          <t>VÄRMLANDS LÄN</t>
        </is>
      </c>
      <c r="E1265" t="inlineStr">
        <is>
          <t>ÅRJÄNG</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16806-2024</t>
        </is>
      </c>
      <c r="B1266" s="1" t="n">
        <v>45411.45510416666</v>
      </c>
      <c r="C1266" s="1" t="n">
        <v>46051</v>
      </c>
      <c r="D1266" t="inlineStr">
        <is>
          <t>VÄRMLANDS LÄN</t>
        </is>
      </c>
      <c r="E1266" t="inlineStr">
        <is>
          <t>ÅRJÄNG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61873-2023</t>
        </is>
      </c>
      <c r="B1267" s="1" t="n">
        <v>45266.40989583333</v>
      </c>
      <c r="C1267" s="1" t="n">
        <v>46051</v>
      </c>
      <c r="D1267" t="inlineStr">
        <is>
          <t>VÄRMLANDS LÄN</t>
        </is>
      </c>
      <c r="E1267" t="inlineStr">
        <is>
          <t>ÅRJÄNG</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12687-2025</t>
        </is>
      </c>
      <c r="B1268" s="1" t="n">
        <v>45733.44953703704</v>
      </c>
      <c r="C1268" s="1" t="n">
        <v>46051</v>
      </c>
      <c r="D1268" t="inlineStr">
        <is>
          <t>VÄRMLANDS LÄN</t>
        </is>
      </c>
      <c r="E1268" t="inlineStr">
        <is>
          <t>ÅRJÄNG</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28260-2024</t>
        </is>
      </c>
      <c r="B1269" s="1" t="n">
        <v>45477</v>
      </c>
      <c r="C1269" s="1" t="n">
        <v>46051</v>
      </c>
      <c r="D1269" t="inlineStr">
        <is>
          <t>VÄRMLANDS LÄN</t>
        </is>
      </c>
      <c r="E1269" t="inlineStr">
        <is>
          <t>ÅRJÄNG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1560-2025</t>
        </is>
      </c>
      <c r="B1270" s="1" t="n">
        <v>45670.53878472222</v>
      </c>
      <c r="C1270" s="1" t="n">
        <v>46051</v>
      </c>
      <c r="D1270" t="inlineStr">
        <is>
          <t>VÄRMLANDS LÄN</t>
        </is>
      </c>
      <c r="E1270" t="inlineStr">
        <is>
          <t>ÅRJÄNG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30710-2023</t>
        </is>
      </c>
      <c r="B1271" s="1" t="n">
        <v>45112.59900462963</v>
      </c>
      <c r="C1271" s="1" t="n">
        <v>46051</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8255-2025</t>
        </is>
      </c>
      <c r="B1272" s="1" t="n">
        <v>45708.49788194444</v>
      </c>
      <c r="C1272" s="1" t="n">
        <v>46051</v>
      </c>
      <c r="D1272" t="inlineStr">
        <is>
          <t>VÄRMLANDS LÄN</t>
        </is>
      </c>
      <c r="E1272" t="inlineStr">
        <is>
          <t>ÅRJÄNG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34409-2023</t>
        </is>
      </c>
      <c r="B1273" s="1" t="n">
        <v>45139.56662037037</v>
      </c>
      <c r="C1273" s="1" t="n">
        <v>46051</v>
      </c>
      <c r="D1273" t="inlineStr">
        <is>
          <t>VÄRMLANDS LÄN</t>
        </is>
      </c>
      <c r="E1273" t="inlineStr">
        <is>
          <t>ÅRJÄNG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2222-2023</t>
        </is>
      </c>
      <c r="B1274" s="1" t="n">
        <v>44942.4250462963</v>
      </c>
      <c r="C1274" s="1" t="n">
        <v>46051</v>
      </c>
      <c r="D1274" t="inlineStr">
        <is>
          <t>VÄRMLANDS LÄN</t>
        </is>
      </c>
      <c r="E1274" t="inlineStr">
        <is>
          <t>ÅRJÄNG</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29263-2023</t>
        </is>
      </c>
      <c r="B1275" s="1" t="n">
        <v>45105</v>
      </c>
      <c r="C1275" s="1" t="n">
        <v>46051</v>
      </c>
      <c r="D1275" t="inlineStr">
        <is>
          <t>VÄRMLANDS LÄN</t>
        </is>
      </c>
      <c r="E1275" t="inlineStr">
        <is>
          <t>ÅRJÄNG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20354-2023</t>
        </is>
      </c>
      <c r="B1276" s="1" t="n">
        <v>45056</v>
      </c>
      <c r="C1276" s="1" t="n">
        <v>46051</v>
      </c>
      <c r="D1276" t="inlineStr">
        <is>
          <t>VÄRMLANDS LÄN</t>
        </is>
      </c>
      <c r="E1276" t="inlineStr">
        <is>
          <t>ÅRJÄNG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6522-2021</t>
        </is>
      </c>
      <c r="B1277" s="1" t="n">
        <v>44236</v>
      </c>
      <c r="C1277" s="1" t="n">
        <v>46051</v>
      </c>
      <c r="D1277" t="inlineStr">
        <is>
          <t>VÄRMLANDS LÄN</t>
        </is>
      </c>
      <c r="E1277" t="inlineStr">
        <is>
          <t>ÅRJÄNG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13481-2025</t>
        </is>
      </c>
      <c r="B1278" s="1" t="n">
        <v>45736</v>
      </c>
      <c r="C1278" s="1" t="n">
        <v>46051</v>
      </c>
      <c r="D1278" t="inlineStr">
        <is>
          <t>VÄRMLANDS LÄN</t>
        </is>
      </c>
      <c r="E1278" t="inlineStr">
        <is>
          <t>ÅRJÄNG</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5416-2025</t>
        </is>
      </c>
      <c r="B1279" s="1" t="n">
        <v>45692.67990740741</v>
      </c>
      <c r="C1279" s="1" t="n">
        <v>46051</v>
      </c>
      <c r="D1279" t="inlineStr">
        <is>
          <t>VÄRMLANDS LÄN</t>
        </is>
      </c>
      <c r="E1279" t="inlineStr">
        <is>
          <t>ÅRJÄNG</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21996-2021</t>
        </is>
      </c>
      <c r="B1280" s="1" t="n">
        <v>44323</v>
      </c>
      <c r="C1280" s="1" t="n">
        <v>46051</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48014-2023</t>
        </is>
      </c>
      <c r="B1281" s="1" t="n">
        <v>45198</v>
      </c>
      <c r="C1281" s="1" t="n">
        <v>46051</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19843-2025</t>
        </is>
      </c>
      <c r="B1282" s="1" t="n">
        <v>45771</v>
      </c>
      <c r="C1282" s="1" t="n">
        <v>46051</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10681-2024</t>
        </is>
      </c>
      <c r="B1283" s="1" t="n">
        <v>45369.36349537037</v>
      </c>
      <c r="C1283" s="1" t="n">
        <v>46051</v>
      </c>
      <c r="D1283" t="inlineStr">
        <is>
          <t>VÄRMLANDS LÄN</t>
        </is>
      </c>
      <c r="E1283" t="inlineStr">
        <is>
          <t>ÅRJÄNG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11718-2024</t>
        </is>
      </c>
      <c r="B1284" s="1" t="n">
        <v>45373.63803240741</v>
      </c>
      <c r="C1284" s="1" t="n">
        <v>46051</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58769-2024</t>
        </is>
      </c>
      <c r="B1285" s="1" t="n">
        <v>45635.75688657408</v>
      </c>
      <c r="C1285" s="1" t="n">
        <v>46051</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3463-2025</t>
        </is>
      </c>
      <c r="B1286" s="1" t="n">
        <v>45680.49807870371</v>
      </c>
      <c r="C1286" s="1" t="n">
        <v>46051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54900-2024</t>
        </is>
      </c>
      <c r="B1287" s="1" t="n">
        <v>45618.64770833333</v>
      </c>
      <c r="C1287" s="1" t="n">
        <v>46051</v>
      </c>
      <c r="D1287" t="inlineStr">
        <is>
          <t>VÄRMLANDS LÄN</t>
        </is>
      </c>
      <c r="E1287" t="inlineStr">
        <is>
          <t>ÅRJÄNG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48781-2024</t>
        </is>
      </c>
      <c r="B1288" s="1" t="n">
        <v>45593</v>
      </c>
      <c r="C1288" s="1" t="n">
        <v>46051</v>
      </c>
      <c r="D1288" t="inlineStr">
        <is>
          <t>VÄRMLANDS LÄN</t>
        </is>
      </c>
      <c r="E1288" t="inlineStr">
        <is>
          <t>ÅRJÄNG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23940-2023</t>
        </is>
      </c>
      <c r="B1289" s="1" t="n">
        <v>45075</v>
      </c>
      <c r="C1289" s="1" t="n">
        <v>46051</v>
      </c>
      <c r="D1289" t="inlineStr">
        <is>
          <t>VÄRMLANDS LÄN</t>
        </is>
      </c>
      <c r="E1289" t="inlineStr">
        <is>
          <t>ÅRJÄNG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39536-2022</t>
        </is>
      </c>
      <c r="B1290" s="1" t="n">
        <v>44818</v>
      </c>
      <c r="C1290" s="1" t="n">
        <v>46051</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5095-2022</t>
        </is>
      </c>
      <c r="B1291" s="1" t="n">
        <v>44593.86192129629</v>
      </c>
      <c r="C1291" s="1" t="n">
        <v>46051</v>
      </c>
      <c r="D1291" t="inlineStr">
        <is>
          <t>VÄRMLANDS LÄN</t>
        </is>
      </c>
      <c r="E1291" t="inlineStr">
        <is>
          <t>ÅRJÄNG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2-2024</t>
        </is>
      </c>
      <c r="B1292" s="1" t="n">
        <v>45292.54944444444</v>
      </c>
      <c r="C1292" s="1" t="n">
        <v>46051</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7995-2025</t>
        </is>
      </c>
      <c r="B1293" s="1" t="n">
        <v>45707.515625</v>
      </c>
      <c r="C1293" s="1" t="n">
        <v>46051</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58014-2022</t>
        </is>
      </c>
      <c r="B1294" s="1" t="n">
        <v>44893</v>
      </c>
      <c r="C1294" s="1" t="n">
        <v>46051</v>
      </c>
      <c r="D1294" t="inlineStr">
        <is>
          <t>VÄRMLANDS LÄN</t>
        </is>
      </c>
      <c r="E1294" t="inlineStr">
        <is>
          <t>ÅRJÄNG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36018-2024</t>
        </is>
      </c>
      <c r="B1295" s="1" t="n">
        <v>45533</v>
      </c>
      <c r="C1295" s="1" t="n">
        <v>46051</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36035-2024</t>
        </is>
      </c>
      <c r="B1296" s="1" t="n">
        <v>45533.59534722222</v>
      </c>
      <c r="C1296" s="1" t="n">
        <v>46051</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6646-2025</t>
        </is>
      </c>
      <c r="B1297" s="1" t="n">
        <v>45700</v>
      </c>
      <c r="C1297" s="1" t="n">
        <v>46051</v>
      </c>
      <c r="D1297" t="inlineStr">
        <is>
          <t>VÄRMLANDS LÄN</t>
        </is>
      </c>
      <c r="E1297" t="inlineStr">
        <is>
          <t>ÅRJÄNG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58152-2024</t>
        </is>
      </c>
      <c r="B1298" s="1" t="n">
        <v>45632.43947916666</v>
      </c>
      <c r="C1298" s="1" t="n">
        <v>46051</v>
      </c>
      <c r="D1298" t="inlineStr">
        <is>
          <t>VÄRMLANDS LÄN</t>
        </is>
      </c>
      <c r="E1298" t="inlineStr">
        <is>
          <t>ÅRJÄNG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10625-2025</t>
        </is>
      </c>
      <c r="B1299" s="1" t="n">
        <v>45721</v>
      </c>
      <c r="C1299" s="1" t="n">
        <v>46051</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10627-2025</t>
        </is>
      </c>
      <c r="B1300" s="1" t="n">
        <v>45721</v>
      </c>
      <c r="C1300" s="1" t="n">
        <v>46051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3471-2023</t>
        </is>
      </c>
      <c r="B1301" s="1" t="n">
        <v>44949</v>
      </c>
      <c r="C1301" s="1" t="n">
        <v>46051</v>
      </c>
      <c r="D1301" t="inlineStr">
        <is>
          <t>VÄRMLANDS LÄN</t>
        </is>
      </c>
      <c r="E1301" t="inlineStr">
        <is>
          <t>ÅRJÄNG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59617-2022</t>
        </is>
      </c>
      <c r="B1302" s="1" t="n">
        <v>44907</v>
      </c>
      <c r="C1302" s="1" t="n">
        <v>46051</v>
      </c>
      <c r="D1302" t="inlineStr">
        <is>
          <t>VÄRMLANDS LÄN</t>
        </is>
      </c>
      <c r="E1302" t="inlineStr">
        <is>
          <t>ÅRJÄNG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59887-2023</t>
        </is>
      </c>
      <c r="B1303" s="1" t="n">
        <v>45257.59917824074</v>
      </c>
      <c r="C1303" s="1" t="n">
        <v>46051</v>
      </c>
      <c r="D1303" t="inlineStr">
        <is>
          <t>VÄRMLANDS LÄN</t>
        </is>
      </c>
      <c r="E1303" t="inlineStr">
        <is>
          <t>ÅRJÄNG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37382-2024</t>
        </is>
      </c>
      <c r="B1304" s="1" t="n">
        <v>45540</v>
      </c>
      <c r="C1304" s="1" t="n">
        <v>46051</v>
      </c>
      <c r="D1304" t="inlineStr">
        <is>
          <t>VÄRMLANDS LÄN</t>
        </is>
      </c>
      <c r="E1304" t="inlineStr">
        <is>
          <t>ÅRJÄNG</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65171-2023</t>
        </is>
      </c>
      <c r="B1305" s="1" t="n">
        <v>45288.71099537037</v>
      </c>
      <c r="C1305" s="1" t="n">
        <v>46051</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59071-2024</t>
        </is>
      </c>
      <c r="B1306" s="1" t="n">
        <v>45636.96637731481</v>
      </c>
      <c r="C1306" s="1" t="n">
        <v>46051</v>
      </c>
      <c r="D1306" t="inlineStr">
        <is>
          <t>VÄRMLANDS LÄN</t>
        </is>
      </c>
      <c r="E1306" t="inlineStr">
        <is>
          <t>ÅRJÄNG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59073-2024</t>
        </is>
      </c>
      <c r="B1307" s="1" t="n">
        <v>45636.97232638889</v>
      </c>
      <c r="C1307" s="1" t="n">
        <v>46051</v>
      </c>
      <c r="D1307" t="inlineStr">
        <is>
          <t>VÄRMLANDS LÄN</t>
        </is>
      </c>
      <c r="E1307" t="inlineStr">
        <is>
          <t>ÅRJÄNG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28864-2023</t>
        </is>
      </c>
      <c r="B1308" s="1" t="n">
        <v>45104</v>
      </c>
      <c r="C1308" s="1" t="n">
        <v>46051</v>
      </c>
      <c r="D1308" t="inlineStr">
        <is>
          <t>VÄRMLANDS LÄN</t>
        </is>
      </c>
      <c r="E1308" t="inlineStr">
        <is>
          <t>ÅRJÄNG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10117-2023</t>
        </is>
      </c>
      <c r="B1309" s="1" t="n">
        <v>44986.34331018518</v>
      </c>
      <c r="C1309" s="1" t="n">
        <v>46051</v>
      </c>
      <c r="D1309" t="inlineStr">
        <is>
          <t>VÄRMLANDS LÄN</t>
        </is>
      </c>
      <c r="E1309" t="inlineStr">
        <is>
          <t>ÅRJÄNG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15579-2025</t>
        </is>
      </c>
      <c r="B1310" s="1" t="n">
        <v>45747</v>
      </c>
      <c r="C1310" s="1" t="n">
        <v>46051</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15303-2025</t>
        </is>
      </c>
      <c r="B1311" s="1" t="n">
        <v>45746</v>
      </c>
      <c r="C1311" s="1" t="n">
        <v>46051</v>
      </c>
      <c r="D1311" t="inlineStr">
        <is>
          <t>VÄRMLANDS LÄN</t>
        </is>
      </c>
      <c r="E1311" t="inlineStr">
        <is>
          <t>ÅRJÄNG</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11401-2025</t>
        </is>
      </c>
      <c r="B1312" s="1" t="n">
        <v>45726</v>
      </c>
      <c r="C1312" s="1" t="n">
        <v>46051</v>
      </c>
      <c r="D1312" t="inlineStr">
        <is>
          <t>VÄRMLANDS LÄN</t>
        </is>
      </c>
      <c r="E1312" t="inlineStr">
        <is>
          <t>ÅRJÄNG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58789-2024</t>
        </is>
      </c>
      <c r="B1313" s="1" t="n">
        <v>45635.98438657408</v>
      </c>
      <c r="C1313" s="1" t="n">
        <v>46051</v>
      </c>
      <c r="D1313" t="inlineStr">
        <is>
          <t>VÄRMLANDS LÄN</t>
        </is>
      </c>
      <c r="E1313" t="inlineStr">
        <is>
          <t>ÅRJÄNG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32550-2024</t>
        </is>
      </c>
      <c r="B1314" s="1" t="n">
        <v>45513.50606481481</v>
      </c>
      <c r="C1314" s="1" t="n">
        <v>46051</v>
      </c>
      <c r="D1314" t="inlineStr">
        <is>
          <t>VÄRMLANDS LÄN</t>
        </is>
      </c>
      <c r="E1314" t="inlineStr">
        <is>
          <t>ÅRJÄNG</t>
        </is>
      </c>
      <c r="F1314" t="inlineStr">
        <is>
          <t>Bergvik skog väst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46319-2024</t>
        </is>
      </c>
      <c r="B1315" s="1" t="n">
        <v>45581.760625</v>
      </c>
      <c r="C1315" s="1" t="n">
        <v>46051</v>
      </c>
      <c r="D1315" t="inlineStr">
        <is>
          <t>VÄRMLANDS LÄN</t>
        </is>
      </c>
      <c r="E1315" t="inlineStr">
        <is>
          <t>ÅRJÄNG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15230-2025</t>
        </is>
      </c>
      <c r="B1316" s="1" t="n">
        <v>45744</v>
      </c>
      <c r="C1316" s="1" t="n">
        <v>46051</v>
      </c>
      <c r="D1316" t="inlineStr">
        <is>
          <t>VÄRMLANDS LÄN</t>
        </is>
      </c>
      <c r="E1316" t="inlineStr">
        <is>
          <t>ÅRJÄNG</t>
        </is>
      </c>
      <c r="G1316" t="n">
        <v>17.1</v>
      </c>
      <c r="H1316" t="n">
        <v>0</v>
      </c>
      <c r="I1316" t="n">
        <v>0</v>
      </c>
      <c r="J1316" t="n">
        <v>0</v>
      </c>
      <c r="K1316" t="n">
        <v>0</v>
      </c>
      <c r="L1316" t="n">
        <v>0</v>
      </c>
      <c r="M1316" t="n">
        <v>0</v>
      </c>
      <c r="N1316" t="n">
        <v>0</v>
      </c>
      <c r="O1316" t="n">
        <v>0</v>
      </c>
      <c r="P1316" t="n">
        <v>0</v>
      </c>
      <c r="Q1316" t="n">
        <v>0</v>
      </c>
      <c r="R1316" s="2" t="inlineStr"/>
    </row>
    <row r="1317" ht="15" customHeight="1">
      <c r="A1317" t="inlineStr">
        <is>
          <t>A 20372-2025</t>
        </is>
      </c>
      <c r="B1317" s="1" t="n">
        <v>45775.42027777778</v>
      </c>
      <c r="C1317" s="1" t="n">
        <v>46051</v>
      </c>
      <c r="D1317" t="inlineStr">
        <is>
          <t>VÄRMLANDS LÄN</t>
        </is>
      </c>
      <c r="E1317" t="inlineStr">
        <is>
          <t>ÅRJÄNG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45634-2023</t>
        </is>
      </c>
      <c r="B1318" s="1" t="n">
        <v>45194</v>
      </c>
      <c r="C1318" s="1" t="n">
        <v>46051</v>
      </c>
      <c r="D1318" t="inlineStr">
        <is>
          <t>VÄRMLANDS LÄN</t>
        </is>
      </c>
      <c r="E1318" t="inlineStr">
        <is>
          <t>ÅRJÄNG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6551-2025</t>
        </is>
      </c>
      <c r="B1319" s="1" t="n">
        <v>45699.71454861111</v>
      </c>
      <c r="C1319" s="1" t="n">
        <v>46051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48444-2023</t>
        </is>
      </c>
      <c r="B1320" s="1" t="n">
        <v>45206.37090277778</v>
      </c>
      <c r="C1320" s="1" t="n">
        <v>46051</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58290-2024</t>
        </is>
      </c>
      <c r="B1321" s="1" t="n">
        <v>45632.5916087963</v>
      </c>
      <c r="C1321" s="1" t="n">
        <v>46051</v>
      </c>
      <c r="D1321" t="inlineStr">
        <is>
          <t>VÄRMLANDS LÄN</t>
        </is>
      </c>
      <c r="E1321" t="inlineStr">
        <is>
          <t>ÅRJÄNG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1615-2025</t>
        </is>
      </c>
      <c r="B1322" s="1" t="n">
        <v>45670.60484953703</v>
      </c>
      <c r="C1322" s="1" t="n">
        <v>46051</v>
      </c>
      <c r="D1322" t="inlineStr">
        <is>
          <t>VÄRMLANDS LÄN</t>
        </is>
      </c>
      <c r="E1322" t="inlineStr">
        <is>
          <t>ÅRJÄNG</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45827-2024</t>
        </is>
      </c>
      <c r="B1323" s="1" t="n">
        <v>45579</v>
      </c>
      <c r="C1323" s="1" t="n">
        <v>46051</v>
      </c>
      <c r="D1323" t="inlineStr">
        <is>
          <t>VÄRMLANDS LÄN</t>
        </is>
      </c>
      <c r="E1323" t="inlineStr">
        <is>
          <t>ÅRJÄNG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32778-2024</t>
        </is>
      </c>
      <c r="B1324" s="1" t="n">
        <v>45516.5083912037</v>
      </c>
      <c r="C1324" s="1" t="n">
        <v>46051</v>
      </c>
      <c r="D1324" t="inlineStr">
        <is>
          <t>VÄRMLANDS LÄN</t>
        </is>
      </c>
      <c r="E1324" t="inlineStr">
        <is>
          <t>ÅRJÄNG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42230-2024</t>
        </is>
      </c>
      <c r="B1325" s="1" t="n">
        <v>45562</v>
      </c>
      <c r="C1325" s="1" t="n">
        <v>46051</v>
      </c>
      <c r="D1325" t="inlineStr">
        <is>
          <t>VÄRMLANDS LÄN</t>
        </is>
      </c>
      <c r="E1325" t="inlineStr">
        <is>
          <t>ÅRJÄNG</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4189-2025</t>
        </is>
      </c>
      <c r="B1326" s="1" t="n">
        <v>45685</v>
      </c>
      <c r="C1326" s="1" t="n">
        <v>46051</v>
      </c>
      <c r="D1326" t="inlineStr">
        <is>
          <t>VÄRMLANDS LÄN</t>
        </is>
      </c>
      <c r="E1326" t="inlineStr">
        <is>
          <t>ÅRJÄNG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20747-2025</t>
        </is>
      </c>
      <c r="B1327" s="1" t="n">
        <v>45776.56221064815</v>
      </c>
      <c r="C1327" s="1" t="n">
        <v>46051</v>
      </c>
      <c r="D1327" t="inlineStr">
        <is>
          <t>VÄRMLANDS LÄN</t>
        </is>
      </c>
      <c r="E1327" t="inlineStr">
        <is>
          <t>ÅRJÄNG</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20975-2025</t>
        </is>
      </c>
      <c r="B1328" s="1" t="n">
        <v>45777.45922453704</v>
      </c>
      <c r="C1328" s="1" t="n">
        <v>46051</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20957-2025</t>
        </is>
      </c>
      <c r="B1329" s="1" t="n">
        <v>45777.44613425926</v>
      </c>
      <c r="C1329" s="1" t="n">
        <v>46051</v>
      </c>
      <c r="D1329" t="inlineStr">
        <is>
          <t>VÄRMLANDS LÄN</t>
        </is>
      </c>
      <c r="E1329" t="inlineStr">
        <is>
          <t>ÅRJÄNG</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21258-2025</t>
        </is>
      </c>
      <c r="B1330" s="1" t="n">
        <v>45779.59001157407</v>
      </c>
      <c r="C1330" s="1" t="n">
        <v>46051</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11198-2025</t>
        </is>
      </c>
      <c r="B1331" s="1" t="n">
        <v>45725</v>
      </c>
      <c r="C1331" s="1" t="n">
        <v>46051</v>
      </c>
      <c r="D1331" t="inlineStr">
        <is>
          <t>VÄRMLANDS LÄN</t>
        </is>
      </c>
      <c r="E1331" t="inlineStr">
        <is>
          <t>ÅRJÄNG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46051</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1467-2025</t>
        </is>
      </c>
      <c r="B1333" s="1" t="n">
        <v>45667</v>
      </c>
      <c r="C1333" s="1" t="n">
        <v>46051</v>
      </c>
      <c r="D1333" t="inlineStr">
        <is>
          <t>VÄRMLANDS LÄN</t>
        </is>
      </c>
      <c r="E1333" t="inlineStr">
        <is>
          <t>ÅRJÄNG</t>
        </is>
      </c>
      <c r="F1333" t="inlineStr">
        <is>
          <t>Övriga Aktiebolag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31793-2023</t>
        </is>
      </c>
      <c r="B1334" s="1" t="n">
        <v>45118.43685185185</v>
      </c>
      <c r="C1334" s="1" t="n">
        <v>46051</v>
      </c>
      <c r="D1334" t="inlineStr">
        <is>
          <t>VÄRMLANDS LÄN</t>
        </is>
      </c>
      <c r="E1334" t="inlineStr">
        <is>
          <t>ÅRJÄNG</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50347-2024</t>
        </is>
      </c>
      <c r="B1335" s="1" t="n">
        <v>45600</v>
      </c>
      <c r="C1335" s="1" t="n">
        <v>46051</v>
      </c>
      <c r="D1335" t="inlineStr">
        <is>
          <t>VÄRMLANDS LÄN</t>
        </is>
      </c>
      <c r="E1335" t="inlineStr">
        <is>
          <t>ÅRJÄNG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22276-2025</t>
        </is>
      </c>
      <c r="B1336" s="1" t="n">
        <v>45786.32737268518</v>
      </c>
      <c r="C1336" s="1" t="n">
        <v>46051</v>
      </c>
      <c r="D1336" t="inlineStr">
        <is>
          <t>VÄRMLANDS LÄN</t>
        </is>
      </c>
      <c r="E1336" t="inlineStr">
        <is>
          <t>ÅRJÄNG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22352-2025</t>
        </is>
      </c>
      <c r="B1337" s="1" t="n">
        <v>45786.45491898148</v>
      </c>
      <c r="C1337" s="1" t="n">
        <v>46051</v>
      </c>
      <c r="D1337" t="inlineStr">
        <is>
          <t>VÄRMLANDS LÄN</t>
        </is>
      </c>
      <c r="E1337" t="inlineStr">
        <is>
          <t>ÅRJÄNG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63203-2021</t>
        </is>
      </c>
      <c r="B1338" s="1" t="n">
        <v>44507.78568287037</v>
      </c>
      <c r="C1338" s="1" t="n">
        <v>46051</v>
      </c>
      <c r="D1338" t="inlineStr">
        <is>
          <t>VÄRMLANDS LÄN</t>
        </is>
      </c>
      <c r="E1338" t="inlineStr">
        <is>
          <t>ÅRJÄNG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8094-2025</t>
        </is>
      </c>
      <c r="B1339" s="1" t="n">
        <v>45707.68126157407</v>
      </c>
      <c r="C1339" s="1" t="n">
        <v>46051</v>
      </c>
      <c r="D1339" t="inlineStr">
        <is>
          <t>VÄRMLANDS LÄN</t>
        </is>
      </c>
      <c r="E1339" t="inlineStr">
        <is>
          <t>ÅRJÄNG</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22281-2025</t>
        </is>
      </c>
      <c r="B1340" s="1" t="n">
        <v>45786.33900462963</v>
      </c>
      <c r="C1340" s="1" t="n">
        <v>46051</v>
      </c>
      <c r="D1340" t="inlineStr">
        <is>
          <t>VÄRMLANDS LÄN</t>
        </is>
      </c>
      <c r="E1340" t="inlineStr">
        <is>
          <t>ÅRJÄNG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22667-2025</t>
        </is>
      </c>
      <c r="B1341" s="1" t="n">
        <v>45789</v>
      </c>
      <c r="C1341" s="1" t="n">
        <v>46051</v>
      </c>
      <c r="D1341" t="inlineStr">
        <is>
          <t>VÄRMLANDS LÄN</t>
        </is>
      </c>
      <c r="E1341" t="inlineStr">
        <is>
          <t>ÅRJÄNG</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23039-2025</t>
        </is>
      </c>
      <c r="B1342" s="1" t="n">
        <v>45790</v>
      </c>
      <c r="C1342" s="1" t="n">
        <v>46051</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22556-2025</t>
        </is>
      </c>
      <c r="B1343" s="1" t="n">
        <v>45788.93663194445</v>
      </c>
      <c r="C1343" s="1" t="n">
        <v>46051</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37026-2024</t>
        </is>
      </c>
      <c r="B1344" s="1" t="n">
        <v>45539</v>
      </c>
      <c r="C1344" s="1" t="n">
        <v>46051</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11899-2025</t>
        </is>
      </c>
      <c r="B1345" s="1" t="n">
        <v>45728</v>
      </c>
      <c r="C1345" s="1" t="n">
        <v>46051</v>
      </c>
      <c r="D1345" t="inlineStr">
        <is>
          <t>VÄRMLANDS LÄN</t>
        </is>
      </c>
      <c r="E1345" t="inlineStr">
        <is>
          <t>ÅRJÄNG</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22635-2025</t>
        </is>
      </c>
      <c r="B1346" s="1" t="n">
        <v>45789</v>
      </c>
      <c r="C1346" s="1" t="n">
        <v>46051</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22727-2025</t>
        </is>
      </c>
      <c r="B1347" s="1" t="n">
        <v>45789.5744212963</v>
      </c>
      <c r="C1347" s="1" t="n">
        <v>46051</v>
      </c>
      <c r="D1347" t="inlineStr">
        <is>
          <t>VÄRMLANDS LÄN</t>
        </is>
      </c>
      <c r="E1347" t="inlineStr">
        <is>
          <t>ÅRJÄNG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43659-2024</t>
        </is>
      </c>
      <c r="B1348" s="1" t="n">
        <v>45569</v>
      </c>
      <c r="C1348" s="1" t="n">
        <v>46051</v>
      </c>
      <c r="D1348" t="inlineStr">
        <is>
          <t>VÄRMLANDS LÄN</t>
        </is>
      </c>
      <c r="E1348" t="inlineStr">
        <is>
          <t>ÅRJÄNG</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62266-2023</t>
        </is>
      </c>
      <c r="B1349" s="1" t="n">
        <v>45266</v>
      </c>
      <c r="C1349" s="1" t="n">
        <v>46051</v>
      </c>
      <c r="D1349" t="inlineStr">
        <is>
          <t>VÄRMLANDS LÄN</t>
        </is>
      </c>
      <c r="E1349" t="inlineStr">
        <is>
          <t>ÅRJÄNG</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1289-2025</t>
        </is>
      </c>
      <c r="B1350" s="1" t="n">
        <v>45667.51412037037</v>
      </c>
      <c r="C1350" s="1" t="n">
        <v>46051</v>
      </c>
      <c r="D1350" t="inlineStr">
        <is>
          <t>VÄRMLANDS LÄN</t>
        </is>
      </c>
      <c r="E1350" t="inlineStr">
        <is>
          <t>ÅRJÄNG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30993-2024</t>
        </is>
      </c>
      <c r="B1351" s="1" t="n">
        <v>45499</v>
      </c>
      <c r="C1351" s="1" t="n">
        <v>46051</v>
      </c>
      <c r="D1351" t="inlineStr">
        <is>
          <t>VÄRMLANDS LÄN</t>
        </is>
      </c>
      <c r="E1351" t="inlineStr">
        <is>
          <t>ÅRJÄNG</t>
        </is>
      </c>
      <c r="F1351" t="inlineStr">
        <is>
          <t>Kyrkan</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521-2025</t>
        </is>
      </c>
      <c r="B1352" s="1" t="n">
        <v>45664.48826388889</v>
      </c>
      <c r="C1352" s="1" t="n">
        <v>46051</v>
      </c>
      <c r="D1352" t="inlineStr">
        <is>
          <t>VÄRMLANDS LÄN</t>
        </is>
      </c>
      <c r="E1352" t="inlineStr">
        <is>
          <t>ÅRJÄNG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34643-2024</t>
        </is>
      </c>
      <c r="B1353" s="1" t="n">
        <v>45526</v>
      </c>
      <c r="C1353" s="1" t="n">
        <v>46051</v>
      </c>
      <c r="D1353" t="inlineStr">
        <is>
          <t>VÄRMLANDS LÄN</t>
        </is>
      </c>
      <c r="E1353" t="inlineStr">
        <is>
          <t>ÅRJÄNG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4606-2024</t>
        </is>
      </c>
      <c r="B1354" s="1" t="n">
        <v>45328.3225</v>
      </c>
      <c r="C1354" s="1" t="n">
        <v>46051</v>
      </c>
      <c r="D1354" t="inlineStr">
        <is>
          <t>VÄRMLANDS LÄN</t>
        </is>
      </c>
      <c r="E1354" t="inlineStr">
        <is>
          <t>ÅRJÄNG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53332-2023</t>
        </is>
      </c>
      <c r="B1355" s="1" t="n">
        <v>45229</v>
      </c>
      <c r="C1355" s="1" t="n">
        <v>46051</v>
      </c>
      <c r="D1355" t="inlineStr">
        <is>
          <t>VÄRMLANDS LÄN</t>
        </is>
      </c>
      <c r="E1355" t="inlineStr">
        <is>
          <t>ÅRJÄNG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24252-2025</t>
        </is>
      </c>
      <c r="B1356" s="1" t="n">
        <v>45797.40376157407</v>
      </c>
      <c r="C1356" s="1" t="n">
        <v>46051</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41201-2024</t>
        </is>
      </c>
      <c r="B1357" s="1" t="n">
        <v>45559</v>
      </c>
      <c r="C1357" s="1" t="n">
        <v>46051</v>
      </c>
      <c r="D1357" t="inlineStr">
        <is>
          <t>VÄRMLANDS LÄN</t>
        </is>
      </c>
      <c r="E1357" t="inlineStr">
        <is>
          <t>ÅRJÄNG</t>
        </is>
      </c>
      <c r="G1357" t="n">
        <v>4.1</v>
      </c>
      <c r="H1357" t="n">
        <v>0</v>
      </c>
      <c r="I1357" t="n">
        <v>0</v>
      </c>
      <c r="J1357" t="n">
        <v>0</v>
      </c>
      <c r="K1357" t="n">
        <v>0</v>
      </c>
      <c r="L1357" t="n">
        <v>0</v>
      </c>
      <c r="M1357" t="n">
        <v>0</v>
      </c>
      <c r="N1357" t="n">
        <v>0</v>
      </c>
      <c r="O1357" t="n">
        <v>0</v>
      </c>
      <c r="P1357" t="n">
        <v>0</v>
      </c>
      <c r="Q1357" t="n">
        <v>0</v>
      </c>
      <c r="R1357" s="2" t="inlineStr"/>
    </row>
    <row r="1358">
      <c r="A1358" t="inlineStr">
        <is>
          <t>A 24983-2025</t>
        </is>
      </c>
      <c r="B1358" s="1" t="n">
        <v>45799.59841435185</v>
      </c>
      <c r="C1358" s="1" t="n">
        <v>46051</v>
      </c>
      <c r="D1358" t="inlineStr">
        <is>
          <t>VÄRMLANDS LÄN</t>
        </is>
      </c>
      <c r="E1358" t="inlineStr">
        <is>
          <t>ÅRJÄNG</t>
        </is>
      </c>
      <c r="G1358" t="n">
        <v>1.5</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2026-01-29T11:00:13Z</dcterms:created>
  <dcterms:modified xmlns:dcterms="http://purl.org/dc/terms/" xmlns:xsi="http://www.w3.org/2001/XMLSchema-instance" xsi:type="dcterms:W3CDTF">2026-01-29T11:00:14Z</dcterms:modified>
</cp:coreProperties>
</file>