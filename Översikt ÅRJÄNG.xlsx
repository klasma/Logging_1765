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46035</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46035</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46035</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46035</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46035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46035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46035</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46035</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46035</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46035</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46035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46035</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46035</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46035</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6134-2023</t>
        </is>
      </c>
      <c r="B28" s="1" t="n">
        <v>44964.62440972222</v>
      </c>
      <c r="C28" s="1" t="n">
        <v>46035</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60688-2023</t>
        </is>
      </c>
      <c r="B29" s="1" t="n">
        <v>45260</v>
      </c>
      <c r="C29" s="1" t="n">
        <v>46035</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7998-2025</t>
        </is>
      </c>
      <c r="B30" s="1" t="n">
        <v>45707.52335648148</v>
      </c>
      <c r="C30" s="1" t="n">
        <v>46035</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46035</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46035</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39251-2023</t>
        </is>
      </c>
      <c r="B33" s="1" t="n">
        <v>45166.47168981482</v>
      </c>
      <c r="C33" s="1" t="n">
        <v>46035</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60741-2023</t>
        </is>
      </c>
      <c r="B34" s="1" t="n">
        <v>45260</v>
      </c>
      <c r="C34" s="1" t="n">
        <v>46035</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46035</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46035</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46035</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46035</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47631-2025</t>
        </is>
      </c>
      <c r="B39" s="1" t="n">
        <v>45931</v>
      </c>
      <c r="C39" s="1" t="n">
        <v>46035</v>
      </c>
      <c r="D39" t="inlineStr">
        <is>
          <t>VÄRMLANDS LÄN</t>
        </is>
      </c>
      <c r="E39" t="inlineStr">
        <is>
          <t>ÅRJÄNG</t>
        </is>
      </c>
      <c r="F39" t="inlineStr">
        <is>
          <t>Bergvik skog väst AB</t>
        </is>
      </c>
      <c r="G39" t="n">
        <v>6.6</v>
      </c>
      <c r="H39" t="n">
        <v>0</v>
      </c>
      <c r="I39" t="n">
        <v>0</v>
      </c>
      <c r="J39" t="n">
        <v>0</v>
      </c>
      <c r="K39" t="n">
        <v>1</v>
      </c>
      <c r="L39" t="n">
        <v>0</v>
      </c>
      <c r="M39" t="n">
        <v>0</v>
      </c>
      <c r="N39" t="n">
        <v>0</v>
      </c>
      <c r="O39" t="n">
        <v>1</v>
      </c>
      <c r="P39" t="n">
        <v>1</v>
      </c>
      <c r="Q39" t="n">
        <v>1</v>
      </c>
      <c r="R39" s="2" t="inlineStr">
        <is>
          <t>Slåttergubbe</t>
        </is>
      </c>
      <c r="S39">
        <f>HYPERLINK("https://klasma.github.io/Logging_1765/artfynd/A 47631-2025 artfynd.xlsx", "A 47631-2025")</f>
        <v/>
      </c>
      <c r="T39">
        <f>HYPERLINK("https://klasma.github.io/Logging_1765/kartor/A 47631-2025 karta.png", "A 47631-2025")</f>
        <v/>
      </c>
      <c r="V39">
        <f>HYPERLINK("https://klasma.github.io/Logging_1765/klagomål/A 47631-2025 FSC-klagomål.docx", "A 47631-2025")</f>
        <v/>
      </c>
      <c r="W39">
        <f>HYPERLINK("https://klasma.github.io/Logging_1765/klagomålsmail/A 47631-2025 FSC-klagomål mail.docx", "A 47631-2025")</f>
        <v/>
      </c>
      <c r="X39">
        <f>HYPERLINK("https://klasma.github.io/Logging_1765/tillsyn/A 47631-2025 tillsynsbegäran.docx", "A 47631-2025")</f>
        <v/>
      </c>
      <c r="Y39">
        <f>HYPERLINK("https://klasma.github.io/Logging_1765/tillsynsmail/A 47631-2025 tillsynsbegäran mail.docx", "A 47631-2025")</f>
        <v/>
      </c>
    </row>
    <row r="40" ht="15" customHeight="1">
      <c r="A40" t="inlineStr">
        <is>
          <t>A 7447-2024</t>
        </is>
      </c>
      <c r="B40" s="1" t="n">
        <v>45345</v>
      </c>
      <c r="C40" s="1" t="n">
        <v>46035</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46035</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46035</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45230-2025</t>
        </is>
      </c>
      <c r="B43" s="1" t="n">
        <v>45919</v>
      </c>
      <c r="C43" s="1" t="n">
        <v>46035</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14898-2025</t>
        </is>
      </c>
      <c r="B44" s="1" t="n">
        <v>45743.47967592593</v>
      </c>
      <c r="C44" s="1" t="n">
        <v>46035</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47476-2025</t>
        </is>
      </c>
      <c r="B45" s="1" t="n">
        <v>45930.67951388889</v>
      </c>
      <c r="C45" s="1" t="n">
        <v>46035</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27001-2025</t>
        </is>
      </c>
      <c r="B46" s="1" t="n">
        <v>45811</v>
      </c>
      <c r="C46" s="1" t="n">
        <v>46035</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27001-2025 artfynd.xlsx", "A 27001-2025")</f>
        <v/>
      </c>
      <c r="T46">
        <f>HYPERLINK("https://klasma.github.io/Logging_1765/kartor/A 27001-2025 karta.png", "A 27001-2025")</f>
        <v/>
      </c>
      <c r="V46">
        <f>HYPERLINK("https://klasma.github.io/Logging_1765/klagomål/A 27001-2025 FSC-klagomål.docx", "A 27001-2025")</f>
        <v/>
      </c>
      <c r="W46">
        <f>HYPERLINK("https://klasma.github.io/Logging_1765/klagomålsmail/A 27001-2025 FSC-klagomål mail.docx", "A 27001-2025")</f>
        <v/>
      </c>
      <c r="X46">
        <f>HYPERLINK("https://klasma.github.io/Logging_1765/tillsyn/A 27001-2025 tillsynsbegäran.docx", "A 27001-2025")</f>
        <v/>
      </c>
      <c r="Y46">
        <f>HYPERLINK("https://klasma.github.io/Logging_1765/tillsynsmail/A 27001-2025 tillsynsbegäran mail.docx", "A 27001-2025")</f>
        <v/>
      </c>
    </row>
    <row r="47" ht="15" customHeight="1">
      <c r="A47" t="inlineStr">
        <is>
          <t>A 30550-2023</t>
        </is>
      </c>
      <c r="B47" s="1" t="n">
        <v>45111</v>
      </c>
      <c r="C47" s="1" t="n">
        <v>46035</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36385-2025</t>
        </is>
      </c>
      <c r="B48" s="1" t="n">
        <v>45868</v>
      </c>
      <c r="C48" s="1" t="n">
        <v>46035</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57430-2025</t>
        </is>
      </c>
      <c r="B49" s="1" t="n">
        <v>45980.47327546297</v>
      </c>
      <c r="C49" s="1" t="n">
        <v>46035</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46035</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46035</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46035</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46035</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46035</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46035</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52826-2022</t>
        </is>
      </c>
      <c r="B56" s="1" t="n">
        <v>44875.45353009259</v>
      </c>
      <c r="C56" s="1" t="n">
        <v>46035</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46035</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46035</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46035</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46035</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46035</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46035</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46035</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46035</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46035</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46035</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46035</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46035</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46035</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46035</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46035</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47642-2021</t>
        </is>
      </c>
      <c r="B72" s="1" t="n">
        <v>44448.39857638889</v>
      </c>
      <c r="C72" s="1" t="n">
        <v>46035</v>
      </c>
      <c r="D72" t="inlineStr">
        <is>
          <t>VÄRMLANDS LÄN</t>
        </is>
      </c>
      <c r="E72" t="inlineStr">
        <is>
          <t>ÅRJÄNG</t>
        </is>
      </c>
      <c r="G72" t="n">
        <v>2.3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46035</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46035</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46035</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46035</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46035</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61252-2021</t>
        </is>
      </c>
      <c r="B78" s="1" t="n">
        <v>44496</v>
      </c>
      <c r="C78" s="1" t="n">
        <v>46035</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61254-2021</t>
        </is>
      </c>
      <c r="B79" s="1" t="n">
        <v>44496</v>
      </c>
      <c r="C79" s="1" t="n">
        <v>46035</v>
      </c>
      <c r="D79" t="inlineStr">
        <is>
          <t>VÄRMLANDS LÄN</t>
        </is>
      </c>
      <c r="E79" t="inlineStr">
        <is>
          <t>ÅRJÄNG</t>
        </is>
      </c>
      <c r="G79" t="n">
        <v>4</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46035</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13115-2021</t>
        </is>
      </c>
      <c r="B81" s="1" t="n">
        <v>44272</v>
      </c>
      <c r="C81" s="1" t="n">
        <v>46035</v>
      </c>
      <c r="D81" t="inlineStr">
        <is>
          <t>VÄRMLANDS LÄN</t>
        </is>
      </c>
      <c r="E81" t="inlineStr">
        <is>
          <t>ÅRJÄNG</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46035</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46035</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46035</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46035</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46035</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46035</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46035</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46035</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46035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46035</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46035</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46035</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46035</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46035</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46035</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46035</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46035</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46035</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39752-2021</t>
        </is>
      </c>
      <c r="B101" s="1" t="n">
        <v>44417</v>
      </c>
      <c r="C101" s="1" t="n">
        <v>46035</v>
      </c>
      <c r="D101" t="inlineStr">
        <is>
          <t>VÄRMLANDS LÄN</t>
        </is>
      </c>
      <c r="E101" t="inlineStr">
        <is>
          <t>ÅRJÄNG</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46035</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46035</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46035</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46035</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46035</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46035</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46035</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46035</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46035</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46035</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46035</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46035</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46035</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46035</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46035</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46035</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46035</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46035</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46035</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46035</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46035</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46035</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46035</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46035</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46035</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46035</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46035</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46035</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46035</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46035</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46035</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46035</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46035</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46035</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10541-2021</t>
        </is>
      </c>
      <c r="B137" s="1" t="n">
        <v>44258</v>
      </c>
      <c r="C137" s="1" t="n">
        <v>46035</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46035</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46035</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46035</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46035</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46035</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46035</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46035</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61240-2021</t>
        </is>
      </c>
      <c r="B145" s="1" t="n">
        <v>44496</v>
      </c>
      <c r="C145" s="1" t="n">
        <v>46035</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33915-2022</t>
        </is>
      </c>
      <c r="B146" s="1" t="n">
        <v>44790.63480324074</v>
      </c>
      <c r="C146" s="1" t="n">
        <v>46035</v>
      </c>
      <c r="D146" t="inlineStr">
        <is>
          <t>VÄRMLANDS LÄN</t>
        </is>
      </c>
      <c r="E146" t="inlineStr">
        <is>
          <t>ÅRJÄNG</t>
        </is>
      </c>
      <c r="G146" t="n">
        <v>2</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46035</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46035</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46035</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46035</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46035</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46035</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46035</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46035</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46035</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46035</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46035</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46248-2021</t>
        </is>
      </c>
      <c r="B158" s="1" t="n">
        <v>44442</v>
      </c>
      <c r="C158" s="1" t="n">
        <v>46035</v>
      </c>
      <c r="D158" t="inlineStr">
        <is>
          <t>VÄRMLANDS LÄN</t>
        </is>
      </c>
      <c r="E158" t="inlineStr">
        <is>
          <t>ÅRJÄNG</t>
        </is>
      </c>
      <c r="G158" t="n">
        <v>1.7</v>
      </c>
      <c r="H158" t="n">
        <v>0</v>
      </c>
      <c r="I158" t="n">
        <v>0</v>
      </c>
      <c r="J158" t="n">
        <v>0</v>
      </c>
      <c r="K158" t="n">
        <v>0</v>
      </c>
      <c r="L158" t="n">
        <v>0</v>
      </c>
      <c r="M158" t="n">
        <v>0</v>
      </c>
      <c r="N158" t="n">
        <v>0</v>
      </c>
      <c r="O158" t="n">
        <v>0</v>
      </c>
      <c r="P158" t="n">
        <v>0</v>
      </c>
      <c r="Q158" t="n">
        <v>0</v>
      </c>
      <c r="R158" s="2" t="inlineStr"/>
    </row>
    <row r="159" ht="15" customHeight="1">
      <c r="A159" t="inlineStr">
        <is>
          <t>A 56311-2021</t>
        </is>
      </c>
      <c r="B159" s="1" t="n">
        <v>44480.34019675926</v>
      </c>
      <c r="C159" s="1" t="n">
        <v>46035</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50858-2021</t>
        </is>
      </c>
      <c r="B160" s="1" t="n">
        <v>44459</v>
      </c>
      <c r="C160" s="1" t="n">
        <v>46035</v>
      </c>
      <c r="D160" t="inlineStr">
        <is>
          <t>VÄRMLANDS LÄN</t>
        </is>
      </c>
      <c r="E160" t="inlineStr">
        <is>
          <t>ÅRJÄNG</t>
        </is>
      </c>
      <c r="G160" t="n">
        <v>7.2</v>
      </c>
      <c r="H160" t="n">
        <v>0</v>
      </c>
      <c r="I160" t="n">
        <v>0</v>
      </c>
      <c r="J160" t="n">
        <v>0</v>
      </c>
      <c r="K160" t="n">
        <v>0</v>
      </c>
      <c r="L160" t="n">
        <v>0</v>
      </c>
      <c r="M160" t="n">
        <v>0</v>
      </c>
      <c r="N160" t="n">
        <v>0</v>
      </c>
      <c r="O160" t="n">
        <v>0</v>
      </c>
      <c r="P160" t="n">
        <v>0</v>
      </c>
      <c r="Q160" t="n">
        <v>0</v>
      </c>
      <c r="R160" s="2" t="inlineStr"/>
    </row>
    <row r="161" ht="15" customHeight="1">
      <c r="A161" t="inlineStr">
        <is>
          <t>A 37697-2021</t>
        </is>
      </c>
      <c r="B161" s="1" t="n">
        <v>44400.50800925926</v>
      </c>
      <c r="C161" s="1" t="n">
        <v>46035</v>
      </c>
      <c r="D161" t="inlineStr">
        <is>
          <t>VÄRMLANDS LÄN</t>
        </is>
      </c>
      <c r="E161" t="inlineStr">
        <is>
          <t>ÅRJÄNG</t>
        </is>
      </c>
      <c r="G161" t="n">
        <v>4.3</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46035</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516-2022</t>
        </is>
      </c>
      <c r="B163" s="1" t="n">
        <v>44566</v>
      </c>
      <c r="C163" s="1" t="n">
        <v>46035</v>
      </c>
      <c r="D163" t="inlineStr">
        <is>
          <t>VÄRMLANDS LÄN</t>
        </is>
      </c>
      <c r="E163" t="inlineStr">
        <is>
          <t>ÅRJÄNG</t>
        </is>
      </c>
      <c r="G163" t="n">
        <v>2.3</v>
      </c>
      <c r="H163" t="n">
        <v>0</v>
      </c>
      <c r="I163" t="n">
        <v>0</v>
      </c>
      <c r="J163" t="n">
        <v>0</v>
      </c>
      <c r="K163" t="n">
        <v>0</v>
      </c>
      <c r="L163" t="n">
        <v>0</v>
      </c>
      <c r="M163" t="n">
        <v>0</v>
      </c>
      <c r="N163" t="n">
        <v>0</v>
      </c>
      <c r="O163" t="n">
        <v>0</v>
      </c>
      <c r="P163" t="n">
        <v>0</v>
      </c>
      <c r="Q163" t="n">
        <v>0</v>
      </c>
      <c r="R163" s="2" t="inlineStr"/>
    </row>
    <row r="164" ht="15" customHeight="1">
      <c r="A164" t="inlineStr">
        <is>
          <t>A 2970-2022</t>
        </is>
      </c>
      <c r="B164" s="1" t="n">
        <v>44581.71481481481</v>
      </c>
      <c r="C164" s="1" t="n">
        <v>46035</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62289-2021</t>
        </is>
      </c>
      <c r="B165" s="1" t="n">
        <v>44503.37527777778</v>
      </c>
      <c r="C165" s="1" t="n">
        <v>46035</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46035</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46035</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46035</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46035</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53052-2021</t>
        </is>
      </c>
      <c r="B170" s="1" t="n">
        <v>44467</v>
      </c>
      <c r="C170" s="1" t="n">
        <v>46035</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46035</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46035</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46035</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46035</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46035</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46035</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46035</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46035</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46035</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59143-2021</t>
        </is>
      </c>
      <c r="B180" s="1" t="n">
        <v>44490</v>
      </c>
      <c r="C180" s="1" t="n">
        <v>46035</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46035</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46035</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46035</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46035</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46035</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46035</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46035</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46035</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46035</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46035</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46035</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36087-2021</t>
        </is>
      </c>
      <c r="B192" s="1" t="n">
        <v>44389</v>
      </c>
      <c r="C192" s="1" t="n">
        <v>46035</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46035</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46035</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46035</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73138-2021</t>
        </is>
      </c>
      <c r="B196" s="1" t="n">
        <v>44550</v>
      </c>
      <c r="C196" s="1" t="n">
        <v>46035</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60713-2021</t>
        </is>
      </c>
      <c r="B197" s="1" t="n">
        <v>44496</v>
      </c>
      <c r="C197" s="1" t="n">
        <v>46035</v>
      </c>
      <c r="D197" t="inlineStr">
        <is>
          <t>VÄRMLANDS LÄN</t>
        </is>
      </c>
      <c r="E197" t="inlineStr">
        <is>
          <t>ÅRJÄNG</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74189-2021</t>
        </is>
      </c>
      <c r="B198" s="1" t="n">
        <v>44553</v>
      </c>
      <c r="C198" s="1" t="n">
        <v>46035</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13156-2022</t>
        </is>
      </c>
      <c r="B199" s="1" t="n">
        <v>44643</v>
      </c>
      <c r="C199" s="1" t="n">
        <v>46035</v>
      </c>
      <c r="D199" t="inlineStr">
        <is>
          <t>VÄRMLANDS LÄN</t>
        </is>
      </c>
      <c r="E199" t="inlineStr">
        <is>
          <t>ÅRJÄNG</t>
        </is>
      </c>
      <c r="G199" t="n">
        <v>7.8</v>
      </c>
      <c r="H199" t="n">
        <v>0</v>
      </c>
      <c r="I199" t="n">
        <v>0</v>
      </c>
      <c r="J199" t="n">
        <v>0</v>
      </c>
      <c r="K199" t="n">
        <v>0</v>
      </c>
      <c r="L199" t="n">
        <v>0</v>
      </c>
      <c r="M199" t="n">
        <v>0</v>
      </c>
      <c r="N199" t="n">
        <v>0</v>
      </c>
      <c r="O199" t="n">
        <v>0</v>
      </c>
      <c r="P199" t="n">
        <v>0</v>
      </c>
      <c r="Q199" t="n">
        <v>0</v>
      </c>
      <c r="R199" s="2" t="inlineStr"/>
    </row>
    <row r="200" ht="15" customHeight="1">
      <c r="A200" t="inlineStr">
        <is>
          <t>A 47005-2021</t>
        </is>
      </c>
      <c r="B200" s="1" t="n">
        <v>44446</v>
      </c>
      <c r="C200" s="1" t="n">
        <v>46035</v>
      </c>
      <c r="D200" t="inlineStr">
        <is>
          <t>VÄRMLANDS LÄN</t>
        </is>
      </c>
      <c r="E200" t="inlineStr">
        <is>
          <t>ÅRJÄNG</t>
        </is>
      </c>
      <c r="G200" t="n">
        <v>6.3</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46035</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46035</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46035</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46035</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46035</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46035</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46035</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46035</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46035</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46035</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46035</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46035</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46035</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46035</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46035</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46035</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46035</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46035</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46035</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46035</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46035</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46035</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46035</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46035</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6900-2021</t>
        </is>
      </c>
      <c r="B225" s="1" t="n">
        <v>44237</v>
      </c>
      <c r="C225" s="1" t="n">
        <v>46035</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6908-2021</t>
        </is>
      </c>
      <c r="B226" s="1" t="n">
        <v>44237</v>
      </c>
      <c r="C226" s="1" t="n">
        <v>46035</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46035</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46035</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46035</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46035</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46035</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46035</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46035</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19244-2021</t>
        </is>
      </c>
      <c r="B234" s="1" t="n">
        <v>44309</v>
      </c>
      <c r="C234" s="1" t="n">
        <v>46035</v>
      </c>
      <c r="D234" t="inlineStr">
        <is>
          <t>VÄRMLANDS LÄN</t>
        </is>
      </c>
      <c r="E234" t="inlineStr">
        <is>
          <t>ÅRJÄNG</t>
        </is>
      </c>
      <c r="G234" t="n">
        <v>2</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46035</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46035</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46035</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46035</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46035</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46035</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23451-2021</t>
        </is>
      </c>
      <c r="B241" s="1" t="n">
        <v>44333.89180555556</v>
      </c>
      <c r="C241" s="1" t="n">
        <v>46035</v>
      </c>
      <c r="D241" t="inlineStr">
        <is>
          <t>VÄRMLANDS LÄN</t>
        </is>
      </c>
      <c r="E241" t="inlineStr">
        <is>
          <t>ÅRJÄNG</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22158-2021</t>
        </is>
      </c>
      <c r="B242" s="1" t="n">
        <v>44325.57944444445</v>
      </c>
      <c r="C242" s="1" t="n">
        <v>46035</v>
      </c>
      <c r="D242" t="inlineStr">
        <is>
          <t>VÄRMLANDS LÄN</t>
        </is>
      </c>
      <c r="E242" t="inlineStr">
        <is>
          <t>ÅRJÄNG</t>
        </is>
      </c>
      <c r="G242" t="n">
        <v>5</v>
      </c>
      <c r="H242" t="n">
        <v>0</v>
      </c>
      <c r="I242" t="n">
        <v>0</v>
      </c>
      <c r="J242" t="n">
        <v>0</v>
      </c>
      <c r="K242" t="n">
        <v>0</v>
      </c>
      <c r="L242" t="n">
        <v>0</v>
      </c>
      <c r="M242" t="n">
        <v>0</v>
      </c>
      <c r="N242" t="n">
        <v>0</v>
      </c>
      <c r="O242" t="n">
        <v>0</v>
      </c>
      <c r="P242" t="n">
        <v>0</v>
      </c>
      <c r="Q242" t="n">
        <v>0</v>
      </c>
      <c r="R242" s="2" t="inlineStr"/>
    </row>
    <row r="243" ht="15" customHeight="1">
      <c r="A243" t="inlineStr">
        <is>
          <t>A 5713-2021</t>
        </is>
      </c>
      <c r="B243" s="1" t="n">
        <v>44230</v>
      </c>
      <c r="C243" s="1" t="n">
        <v>46035</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46035</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46035</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30817-2021</t>
        </is>
      </c>
      <c r="B246" s="1" t="n">
        <v>44365</v>
      </c>
      <c r="C246" s="1" t="n">
        <v>46035</v>
      </c>
      <c r="D246" t="inlineStr">
        <is>
          <t>VÄRMLANDS LÄN</t>
        </is>
      </c>
      <c r="E246" t="inlineStr">
        <is>
          <t>ÅRJÄNG</t>
        </is>
      </c>
      <c r="G246" t="n">
        <v>5.6</v>
      </c>
      <c r="H246" t="n">
        <v>0</v>
      </c>
      <c r="I246" t="n">
        <v>0</v>
      </c>
      <c r="J246" t="n">
        <v>0</v>
      </c>
      <c r="K246" t="n">
        <v>0</v>
      </c>
      <c r="L246" t="n">
        <v>0</v>
      </c>
      <c r="M246" t="n">
        <v>0</v>
      </c>
      <c r="N246" t="n">
        <v>0</v>
      </c>
      <c r="O246" t="n">
        <v>0</v>
      </c>
      <c r="P246" t="n">
        <v>0</v>
      </c>
      <c r="Q246" t="n">
        <v>0</v>
      </c>
      <c r="R246" s="2" t="inlineStr"/>
    </row>
    <row r="247" ht="15" customHeight="1">
      <c r="A247" t="inlineStr">
        <is>
          <t>A 29098-2022</t>
        </is>
      </c>
      <c r="B247" s="1" t="n">
        <v>44750</v>
      </c>
      <c r="C247" s="1" t="n">
        <v>46035</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29174-2022</t>
        </is>
      </c>
      <c r="B248" s="1" t="n">
        <v>44750</v>
      </c>
      <c r="C248" s="1" t="n">
        <v>46035</v>
      </c>
      <c r="D248" t="inlineStr">
        <is>
          <t>VÄRMLANDS LÄN</t>
        </is>
      </c>
      <c r="E248" t="inlineStr">
        <is>
          <t>ÅRJÄNG</t>
        </is>
      </c>
      <c r="G248" t="n">
        <v>0.1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46035</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16676-2021</t>
        </is>
      </c>
      <c r="B250" s="1" t="n">
        <v>44294.5668287037</v>
      </c>
      <c r="C250" s="1" t="n">
        <v>46035</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46035</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46035</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72996-2021</t>
        </is>
      </c>
      <c r="B253" s="1" t="n">
        <v>44549.8596875</v>
      </c>
      <c r="C253" s="1" t="n">
        <v>46035</v>
      </c>
      <c r="D253" t="inlineStr">
        <is>
          <t>VÄRMLANDS LÄN</t>
        </is>
      </c>
      <c r="E253" t="inlineStr">
        <is>
          <t>ÅRJÄNG</t>
        </is>
      </c>
      <c r="G253" t="n">
        <v>1.2</v>
      </c>
      <c r="H253" t="n">
        <v>0</v>
      </c>
      <c r="I253" t="n">
        <v>0</v>
      </c>
      <c r="J253" t="n">
        <v>0</v>
      </c>
      <c r="K253" t="n">
        <v>0</v>
      </c>
      <c r="L253" t="n">
        <v>0</v>
      </c>
      <c r="M253" t="n">
        <v>0</v>
      </c>
      <c r="N253" t="n">
        <v>0</v>
      </c>
      <c r="O253" t="n">
        <v>0</v>
      </c>
      <c r="P253" t="n">
        <v>0</v>
      </c>
      <c r="Q253" t="n">
        <v>0</v>
      </c>
      <c r="R253" s="2" t="inlineStr"/>
    </row>
    <row r="254" ht="15" customHeight="1">
      <c r="A254" t="inlineStr">
        <is>
          <t>A 4915-2022</t>
        </is>
      </c>
      <c r="B254" s="1" t="n">
        <v>44593</v>
      </c>
      <c r="C254" s="1" t="n">
        <v>46035</v>
      </c>
      <c r="D254" t="inlineStr">
        <is>
          <t>VÄRMLANDS LÄN</t>
        </is>
      </c>
      <c r="E254" t="inlineStr">
        <is>
          <t>ÅRJÄNG</t>
        </is>
      </c>
      <c r="G254" t="n">
        <v>3.7</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46035</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46035</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46035</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46035</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46035</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12137-2021</t>
        </is>
      </c>
      <c r="B260" s="1" t="n">
        <v>44266</v>
      </c>
      <c r="C260" s="1" t="n">
        <v>46035</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28437-2021</t>
        </is>
      </c>
      <c r="B261" s="1" t="n">
        <v>44356.53327546296</v>
      </c>
      <c r="C261" s="1" t="n">
        <v>46035</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46035</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47035-2021</t>
        </is>
      </c>
      <c r="B263" s="1" t="n">
        <v>44446</v>
      </c>
      <c r="C263" s="1" t="n">
        <v>46035</v>
      </c>
      <c r="D263" t="inlineStr">
        <is>
          <t>VÄRMLANDS LÄN</t>
        </is>
      </c>
      <c r="E263" t="inlineStr">
        <is>
          <t>ÅRJÄNG</t>
        </is>
      </c>
      <c r="G263" t="n">
        <v>2.6</v>
      </c>
      <c r="H263" t="n">
        <v>0</v>
      </c>
      <c r="I263" t="n">
        <v>0</v>
      </c>
      <c r="J263" t="n">
        <v>0</v>
      </c>
      <c r="K263" t="n">
        <v>0</v>
      </c>
      <c r="L263" t="n">
        <v>0</v>
      </c>
      <c r="M263" t="n">
        <v>0</v>
      </c>
      <c r="N263" t="n">
        <v>0</v>
      </c>
      <c r="O263" t="n">
        <v>0</v>
      </c>
      <c r="P263" t="n">
        <v>0</v>
      </c>
      <c r="Q263" t="n">
        <v>0</v>
      </c>
      <c r="R263" s="2" t="inlineStr"/>
    </row>
    <row r="264" ht="15" customHeight="1">
      <c r="A264" t="inlineStr">
        <is>
          <t>A 8438-2022</t>
        </is>
      </c>
      <c r="B264" s="1" t="n">
        <v>44612</v>
      </c>
      <c r="C264" s="1" t="n">
        <v>46035</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46035</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50044-2022</t>
        </is>
      </c>
      <c r="B266" s="1" t="n">
        <v>44865</v>
      </c>
      <c r="C266" s="1" t="n">
        <v>46035</v>
      </c>
      <c r="D266" t="inlineStr">
        <is>
          <t>VÄRMLANDS LÄN</t>
        </is>
      </c>
      <c r="E266" t="inlineStr">
        <is>
          <t>ÅRJÄNG</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21701-2021</t>
        </is>
      </c>
      <c r="B267" s="1" t="n">
        <v>44322</v>
      </c>
      <c r="C267" s="1" t="n">
        <v>46035</v>
      </c>
      <c r="D267" t="inlineStr">
        <is>
          <t>VÄRMLANDS LÄN</t>
        </is>
      </c>
      <c r="E267" t="inlineStr">
        <is>
          <t>ÅRJÄNG</t>
        </is>
      </c>
      <c r="G267" t="n">
        <v>2.4</v>
      </c>
      <c r="H267" t="n">
        <v>0</v>
      </c>
      <c r="I267" t="n">
        <v>0</v>
      </c>
      <c r="J267" t="n">
        <v>0</v>
      </c>
      <c r="K267" t="n">
        <v>0</v>
      </c>
      <c r="L267" t="n">
        <v>0</v>
      </c>
      <c r="M267" t="n">
        <v>0</v>
      </c>
      <c r="N267" t="n">
        <v>0</v>
      </c>
      <c r="O267" t="n">
        <v>0</v>
      </c>
      <c r="P267" t="n">
        <v>0</v>
      </c>
      <c r="Q267" t="n">
        <v>0</v>
      </c>
      <c r="R267" s="2" t="inlineStr"/>
    </row>
    <row r="268" ht="15" customHeight="1">
      <c r="A268" t="inlineStr">
        <is>
          <t>A 33025-2021</t>
        </is>
      </c>
      <c r="B268" s="1" t="n">
        <v>44376</v>
      </c>
      <c r="C268" s="1" t="n">
        <v>46035</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28925-2022</t>
        </is>
      </c>
      <c r="B269" s="1" t="n">
        <v>44749.57684027778</v>
      </c>
      <c r="C269" s="1" t="n">
        <v>46035</v>
      </c>
      <c r="D269" t="inlineStr">
        <is>
          <t>VÄRMLANDS LÄN</t>
        </is>
      </c>
      <c r="E269" t="inlineStr">
        <is>
          <t>ÅRJÄNG</t>
        </is>
      </c>
      <c r="G269" t="n">
        <v>0.6</v>
      </c>
      <c r="H269" t="n">
        <v>0</v>
      </c>
      <c r="I269" t="n">
        <v>0</v>
      </c>
      <c r="J269" t="n">
        <v>0</v>
      </c>
      <c r="K269" t="n">
        <v>0</v>
      </c>
      <c r="L269" t="n">
        <v>0</v>
      </c>
      <c r="M269" t="n">
        <v>0</v>
      </c>
      <c r="N269" t="n">
        <v>0</v>
      </c>
      <c r="O269" t="n">
        <v>0</v>
      </c>
      <c r="P269" t="n">
        <v>0</v>
      </c>
      <c r="Q269" t="n">
        <v>0</v>
      </c>
      <c r="R269" s="2" t="inlineStr"/>
    </row>
    <row r="270" ht="15" customHeight="1">
      <c r="A270" t="inlineStr">
        <is>
          <t>A 3980-2021</t>
        </is>
      </c>
      <c r="B270" s="1" t="n">
        <v>44217</v>
      </c>
      <c r="C270" s="1" t="n">
        <v>46035</v>
      </c>
      <c r="D270" t="inlineStr">
        <is>
          <t>VÄRMLANDS LÄN</t>
        </is>
      </c>
      <c r="E270" t="inlineStr">
        <is>
          <t>ÅRJÄNG</t>
        </is>
      </c>
      <c r="G270" t="n">
        <v>1.4</v>
      </c>
      <c r="H270" t="n">
        <v>0</v>
      </c>
      <c r="I270" t="n">
        <v>0</v>
      </c>
      <c r="J270" t="n">
        <v>0</v>
      </c>
      <c r="K270" t="n">
        <v>0</v>
      </c>
      <c r="L270" t="n">
        <v>0</v>
      </c>
      <c r="M270" t="n">
        <v>0</v>
      </c>
      <c r="N270" t="n">
        <v>0</v>
      </c>
      <c r="O270" t="n">
        <v>0</v>
      </c>
      <c r="P270" t="n">
        <v>0</v>
      </c>
      <c r="Q270" t="n">
        <v>0</v>
      </c>
      <c r="R270" s="2" t="inlineStr"/>
    </row>
    <row r="271" ht="15" customHeight="1">
      <c r="A271" t="inlineStr">
        <is>
          <t>A 53739-2021</t>
        </is>
      </c>
      <c r="B271" s="1" t="n">
        <v>44469</v>
      </c>
      <c r="C271" s="1" t="n">
        <v>46035</v>
      </c>
      <c r="D271" t="inlineStr">
        <is>
          <t>VÄRMLANDS LÄN</t>
        </is>
      </c>
      <c r="E271" t="inlineStr">
        <is>
          <t>ÅRJÄNG</t>
        </is>
      </c>
      <c r="G271" t="n">
        <v>15.9</v>
      </c>
      <c r="H271" t="n">
        <v>0</v>
      </c>
      <c r="I271" t="n">
        <v>0</v>
      </c>
      <c r="J271" t="n">
        <v>0</v>
      </c>
      <c r="K271" t="n">
        <v>0</v>
      </c>
      <c r="L271" t="n">
        <v>0</v>
      </c>
      <c r="M271" t="n">
        <v>0</v>
      </c>
      <c r="N271" t="n">
        <v>0</v>
      </c>
      <c r="O271" t="n">
        <v>0</v>
      </c>
      <c r="P271" t="n">
        <v>0</v>
      </c>
      <c r="Q271" t="n">
        <v>0</v>
      </c>
      <c r="R271" s="2" t="inlineStr"/>
    </row>
    <row r="272" ht="15" customHeight="1">
      <c r="A272" t="inlineStr">
        <is>
          <t>A 56778-2024</t>
        </is>
      </c>
      <c r="B272" s="1" t="n">
        <v>45628</v>
      </c>
      <c r="C272" s="1" t="n">
        <v>46035</v>
      </c>
      <c r="D272" t="inlineStr">
        <is>
          <t>VÄRMLANDS LÄN</t>
        </is>
      </c>
      <c r="E272" t="inlineStr">
        <is>
          <t>ÅRJÄNG</t>
        </is>
      </c>
      <c r="G272" t="n">
        <v>1</v>
      </c>
      <c r="H272" t="n">
        <v>0</v>
      </c>
      <c r="I272" t="n">
        <v>0</v>
      </c>
      <c r="J272" t="n">
        <v>0</v>
      </c>
      <c r="K272" t="n">
        <v>0</v>
      </c>
      <c r="L272" t="n">
        <v>0</v>
      </c>
      <c r="M272" t="n">
        <v>0</v>
      </c>
      <c r="N272" t="n">
        <v>0</v>
      </c>
      <c r="O272" t="n">
        <v>0</v>
      </c>
      <c r="P272" t="n">
        <v>0</v>
      </c>
      <c r="Q272" t="n">
        <v>0</v>
      </c>
      <c r="R272" s="2" t="inlineStr"/>
    </row>
    <row r="273" ht="15" customHeight="1">
      <c r="A273" t="inlineStr">
        <is>
          <t>A 8831-2025</t>
        </is>
      </c>
      <c r="B273" s="1" t="n">
        <v>45712.90697916667</v>
      </c>
      <c r="C273" s="1" t="n">
        <v>46035</v>
      </c>
      <c r="D273" t="inlineStr">
        <is>
          <t>VÄRMLANDS LÄN</t>
        </is>
      </c>
      <c r="E273" t="inlineStr">
        <is>
          <t>ÅRJÄNG</t>
        </is>
      </c>
      <c r="G273" t="n">
        <v>32.9</v>
      </c>
      <c r="H273" t="n">
        <v>0</v>
      </c>
      <c r="I273" t="n">
        <v>0</v>
      </c>
      <c r="J273" t="n">
        <v>0</v>
      </c>
      <c r="K273" t="n">
        <v>0</v>
      </c>
      <c r="L273" t="n">
        <v>0</v>
      </c>
      <c r="M273" t="n">
        <v>0</v>
      </c>
      <c r="N273" t="n">
        <v>0</v>
      </c>
      <c r="O273" t="n">
        <v>0</v>
      </c>
      <c r="P273" t="n">
        <v>0</v>
      </c>
      <c r="Q273" t="n">
        <v>0</v>
      </c>
      <c r="R273" s="2" t="inlineStr"/>
    </row>
    <row r="274" ht="15" customHeight="1">
      <c r="A274" t="inlineStr">
        <is>
          <t>A 8834-2025</t>
        </is>
      </c>
      <c r="B274" s="1" t="n">
        <v>45712.921875</v>
      </c>
      <c r="C274" s="1" t="n">
        <v>46035</v>
      </c>
      <c r="D274" t="inlineStr">
        <is>
          <t>VÄRMLANDS LÄN</t>
        </is>
      </c>
      <c r="E274" t="inlineStr">
        <is>
          <t>ÅRJÄNG</t>
        </is>
      </c>
      <c r="G274" t="n">
        <v>2.2</v>
      </c>
      <c r="H274" t="n">
        <v>0</v>
      </c>
      <c r="I274" t="n">
        <v>0</v>
      </c>
      <c r="J274" t="n">
        <v>0</v>
      </c>
      <c r="K274" t="n">
        <v>0</v>
      </c>
      <c r="L274" t="n">
        <v>0</v>
      </c>
      <c r="M274" t="n">
        <v>0</v>
      </c>
      <c r="N274" t="n">
        <v>0</v>
      </c>
      <c r="O274" t="n">
        <v>0</v>
      </c>
      <c r="P274" t="n">
        <v>0</v>
      </c>
      <c r="Q274" t="n">
        <v>0</v>
      </c>
      <c r="R274" s="2" t="inlineStr"/>
    </row>
    <row r="275" ht="15" customHeight="1">
      <c r="A275" t="inlineStr">
        <is>
          <t>A 13001-2025</t>
        </is>
      </c>
      <c r="B275" s="1" t="n">
        <v>45734.49777777777</v>
      </c>
      <c r="C275" s="1" t="n">
        <v>46035</v>
      </c>
      <c r="D275" t="inlineStr">
        <is>
          <t>VÄRMLANDS LÄN</t>
        </is>
      </c>
      <c r="E275" t="inlineStr">
        <is>
          <t>ÅRJÄNG</t>
        </is>
      </c>
      <c r="G275" t="n">
        <v>15.8</v>
      </c>
      <c r="H275" t="n">
        <v>0</v>
      </c>
      <c r="I275" t="n">
        <v>0</v>
      </c>
      <c r="J275" t="n">
        <v>0</v>
      </c>
      <c r="K275" t="n">
        <v>0</v>
      </c>
      <c r="L275" t="n">
        <v>0</v>
      </c>
      <c r="M275" t="n">
        <v>0</v>
      </c>
      <c r="N275" t="n">
        <v>0</v>
      </c>
      <c r="O275" t="n">
        <v>0</v>
      </c>
      <c r="P275" t="n">
        <v>0</v>
      </c>
      <c r="Q275" t="n">
        <v>0</v>
      </c>
      <c r="R275" s="2" t="inlineStr"/>
    </row>
    <row r="276" ht="15" customHeight="1">
      <c r="A276" t="inlineStr">
        <is>
          <t>A 13002-2025</t>
        </is>
      </c>
      <c r="B276" s="1" t="n">
        <v>45734.50288194444</v>
      </c>
      <c r="C276" s="1" t="n">
        <v>46035</v>
      </c>
      <c r="D276" t="inlineStr">
        <is>
          <t>VÄRMLANDS LÄN</t>
        </is>
      </c>
      <c r="E276" t="inlineStr">
        <is>
          <t>ÅRJÄNG</t>
        </is>
      </c>
      <c r="G276" t="n">
        <v>2.4</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46035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4668-2025</t>
        </is>
      </c>
      <c r="B278" s="1" t="n">
        <v>45687.76229166667</v>
      </c>
      <c r="C278" s="1" t="n">
        <v>46035</v>
      </c>
      <c r="D278" t="inlineStr">
        <is>
          <t>VÄRMLANDS LÄN</t>
        </is>
      </c>
      <c r="E278" t="inlineStr">
        <is>
          <t>ÅRJÄNG</t>
        </is>
      </c>
      <c r="G278" t="n">
        <v>8.5</v>
      </c>
      <c r="H278" t="n">
        <v>0</v>
      </c>
      <c r="I278" t="n">
        <v>0</v>
      </c>
      <c r="J278" t="n">
        <v>0</v>
      </c>
      <c r="K278" t="n">
        <v>0</v>
      </c>
      <c r="L278" t="n">
        <v>0</v>
      </c>
      <c r="M278" t="n">
        <v>0</v>
      </c>
      <c r="N278" t="n">
        <v>0</v>
      </c>
      <c r="O278" t="n">
        <v>0</v>
      </c>
      <c r="P278" t="n">
        <v>0</v>
      </c>
      <c r="Q278" t="n">
        <v>0</v>
      </c>
      <c r="R278" s="2" t="inlineStr"/>
    </row>
    <row r="279" ht="15" customHeight="1">
      <c r="A279" t="inlineStr">
        <is>
          <t>A 54961-2024</t>
        </is>
      </c>
      <c r="B279" s="1" t="n">
        <v>45619.9753125</v>
      </c>
      <c r="C279" s="1" t="n">
        <v>46035</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5122-2025</t>
        </is>
      </c>
      <c r="B280" s="1" t="n">
        <v>45691.55863425926</v>
      </c>
      <c r="C280" s="1" t="n">
        <v>46035</v>
      </c>
      <c r="D280" t="inlineStr">
        <is>
          <t>VÄRMLANDS LÄN</t>
        </is>
      </c>
      <c r="E280" t="inlineStr">
        <is>
          <t>ÅRJÄNG</t>
        </is>
      </c>
      <c r="G280" t="n">
        <v>5.7</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46035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12072-2024</t>
        </is>
      </c>
      <c r="B282" s="1" t="n">
        <v>45377</v>
      </c>
      <c r="C282" s="1" t="n">
        <v>46035</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47688-2023</t>
        </is>
      </c>
      <c r="B283" s="1" t="n">
        <v>45203</v>
      </c>
      <c r="C283" s="1" t="n">
        <v>46035</v>
      </c>
      <c r="D283" t="inlineStr">
        <is>
          <t>VÄRMLANDS LÄN</t>
        </is>
      </c>
      <c r="E283" t="inlineStr">
        <is>
          <t>ÅRJÄNG</t>
        </is>
      </c>
      <c r="F283" t="inlineStr">
        <is>
          <t>Övriga Aktiebolag</t>
        </is>
      </c>
      <c r="G283" t="n">
        <v>20.3</v>
      </c>
      <c r="H283" t="n">
        <v>0</v>
      </c>
      <c r="I283" t="n">
        <v>0</v>
      </c>
      <c r="J283" t="n">
        <v>0</v>
      </c>
      <c r="K283" t="n">
        <v>0</v>
      </c>
      <c r="L283" t="n">
        <v>0</v>
      </c>
      <c r="M283" t="n">
        <v>0</v>
      </c>
      <c r="N283" t="n">
        <v>0</v>
      </c>
      <c r="O283" t="n">
        <v>0</v>
      </c>
      <c r="P283" t="n">
        <v>0</v>
      </c>
      <c r="Q283" t="n">
        <v>0</v>
      </c>
      <c r="R283" s="2" t="inlineStr"/>
    </row>
    <row r="284" ht="15" customHeight="1">
      <c r="A284" t="inlineStr">
        <is>
          <t>A 47228-2023</t>
        </is>
      </c>
      <c r="B284" s="1" t="n">
        <v>45202.3709837963</v>
      </c>
      <c r="C284" s="1" t="n">
        <v>46035</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6551-2025</t>
        </is>
      </c>
      <c r="B285" s="1" t="n">
        <v>45699.71454861111</v>
      </c>
      <c r="C285" s="1" t="n">
        <v>46035</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4088-2025</t>
        </is>
      </c>
      <c r="B286" s="1" t="n">
        <v>45684.66329861111</v>
      </c>
      <c r="C286" s="1" t="n">
        <v>46035</v>
      </c>
      <c r="D286" t="inlineStr">
        <is>
          <t>VÄRMLANDS LÄN</t>
        </is>
      </c>
      <c r="E286" t="inlineStr">
        <is>
          <t>ÅRJÄNG</t>
        </is>
      </c>
      <c r="G286" t="n">
        <v>4.1</v>
      </c>
      <c r="H286" t="n">
        <v>0</v>
      </c>
      <c r="I286" t="n">
        <v>0</v>
      </c>
      <c r="J286" t="n">
        <v>0</v>
      </c>
      <c r="K286" t="n">
        <v>0</v>
      </c>
      <c r="L286" t="n">
        <v>0</v>
      </c>
      <c r="M286" t="n">
        <v>0</v>
      </c>
      <c r="N286" t="n">
        <v>0</v>
      </c>
      <c r="O286" t="n">
        <v>0</v>
      </c>
      <c r="P286" t="n">
        <v>0</v>
      </c>
      <c r="Q286" t="n">
        <v>0</v>
      </c>
      <c r="R286" s="2" t="inlineStr"/>
    </row>
    <row r="287" ht="15" customHeight="1">
      <c r="A287" t="inlineStr">
        <is>
          <t>A 48444-2023</t>
        </is>
      </c>
      <c r="B287" s="1" t="n">
        <v>45206.37090277778</v>
      </c>
      <c r="C287" s="1" t="n">
        <v>46035</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47695-2025</t>
        </is>
      </c>
      <c r="B288" s="1" t="n">
        <v>45931.59943287037</v>
      </c>
      <c r="C288" s="1" t="n">
        <v>46035</v>
      </c>
      <c r="D288" t="inlineStr">
        <is>
          <t>VÄRMLANDS LÄN</t>
        </is>
      </c>
      <c r="E288" t="inlineStr">
        <is>
          <t>ÅRJÄNG</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7444-2024</t>
        </is>
      </c>
      <c r="B289" s="1" t="n">
        <v>45345.72637731482</v>
      </c>
      <c r="C289" s="1" t="n">
        <v>46035</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47604-2025</t>
        </is>
      </c>
      <c r="B290" s="1" t="n">
        <v>45931.46254629629</v>
      </c>
      <c r="C290" s="1" t="n">
        <v>46035</v>
      </c>
      <c r="D290" t="inlineStr">
        <is>
          <t>VÄRMLANDS LÄN</t>
        </is>
      </c>
      <c r="E290" t="inlineStr">
        <is>
          <t>ÅRJÄNG</t>
        </is>
      </c>
      <c r="G290" t="n">
        <v>0.4</v>
      </c>
      <c r="H290" t="n">
        <v>0</v>
      </c>
      <c r="I290" t="n">
        <v>0</v>
      </c>
      <c r="J290" t="n">
        <v>0</v>
      </c>
      <c r="K290" t="n">
        <v>0</v>
      </c>
      <c r="L290" t="n">
        <v>0</v>
      </c>
      <c r="M290" t="n">
        <v>0</v>
      </c>
      <c r="N290" t="n">
        <v>0</v>
      </c>
      <c r="O290" t="n">
        <v>0</v>
      </c>
      <c r="P290" t="n">
        <v>0</v>
      </c>
      <c r="Q290" t="n">
        <v>0</v>
      </c>
      <c r="R290" s="2" t="inlineStr"/>
    </row>
    <row r="291" ht="15" customHeight="1">
      <c r="A291" t="inlineStr">
        <is>
          <t>A 58290-2024</t>
        </is>
      </c>
      <c r="B291" s="1" t="n">
        <v>45632.5916087963</v>
      </c>
      <c r="C291" s="1" t="n">
        <v>46035</v>
      </c>
      <c r="D291" t="inlineStr">
        <is>
          <t>VÄRMLANDS LÄN</t>
        </is>
      </c>
      <c r="E291" t="inlineStr">
        <is>
          <t>ÅRJÄNG</t>
        </is>
      </c>
      <c r="G291" t="n">
        <v>1.6</v>
      </c>
      <c r="H291" t="n">
        <v>0</v>
      </c>
      <c r="I291" t="n">
        <v>0</v>
      </c>
      <c r="J291" t="n">
        <v>0</v>
      </c>
      <c r="K291" t="n">
        <v>0</v>
      </c>
      <c r="L291" t="n">
        <v>0</v>
      </c>
      <c r="M291" t="n">
        <v>0</v>
      </c>
      <c r="N291" t="n">
        <v>0</v>
      </c>
      <c r="O291" t="n">
        <v>0</v>
      </c>
      <c r="P291" t="n">
        <v>0</v>
      </c>
      <c r="Q291" t="n">
        <v>0</v>
      </c>
      <c r="R291" s="2" t="inlineStr"/>
    </row>
    <row r="292" ht="15" customHeight="1">
      <c r="A292" t="inlineStr">
        <is>
          <t>A 1615-2025</t>
        </is>
      </c>
      <c r="B292" s="1" t="n">
        <v>45670.60484953703</v>
      </c>
      <c r="C292" s="1" t="n">
        <v>46035</v>
      </c>
      <c r="D292" t="inlineStr">
        <is>
          <t>VÄRMLANDS LÄN</t>
        </is>
      </c>
      <c r="E292" t="inlineStr">
        <is>
          <t>ÅRJÄNG</t>
        </is>
      </c>
      <c r="G292" t="n">
        <v>3.3</v>
      </c>
      <c r="H292" t="n">
        <v>0</v>
      </c>
      <c r="I292" t="n">
        <v>0</v>
      </c>
      <c r="J292" t="n">
        <v>0</v>
      </c>
      <c r="K292" t="n">
        <v>0</v>
      </c>
      <c r="L292" t="n">
        <v>0</v>
      </c>
      <c r="M292" t="n">
        <v>0</v>
      </c>
      <c r="N292" t="n">
        <v>0</v>
      </c>
      <c r="O292" t="n">
        <v>0</v>
      </c>
      <c r="P292" t="n">
        <v>0</v>
      </c>
      <c r="Q292" t="n">
        <v>0</v>
      </c>
      <c r="R292" s="2" t="inlineStr"/>
    </row>
    <row r="293" ht="15" customHeight="1">
      <c r="A293" t="inlineStr">
        <is>
          <t>A 47502-2025</t>
        </is>
      </c>
      <c r="B293" s="1" t="n">
        <v>45930.85274305556</v>
      </c>
      <c r="C293" s="1" t="n">
        <v>46035</v>
      </c>
      <c r="D293" t="inlineStr">
        <is>
          <t>VÄRMLANDS LÄN</t>
        </is>
      </c>
      <c r="E293" t="inlineStr">
        <is>
          <t>ÅRJÄNG</t>
        </is>
      </c>
      <c r="G293" t="n">
        <v>10.5</v>
      </c>
      <c r="H293" t="n">
        <v>0</v>
      </c>
      <c r="I293" t="n">
        <v>0</v>
      </c>
      <c r="J293" t="n">
        <v>0</v>
      </c>
      <c r="K293" t="n">
        <v>0</v>
      </c>
      <c r="L293" t="n">
        <v>0</v>
      </c>
      <c r="M293" t="n">
        <v>0</v>
      </c>
      <c r="N293" t="n">
        <v>0</v>
      </c>
      <c r="O293" t="n">
        <v>0</v>
      </c>
      <c r="P293" t="n">
        <v>0</v>
      </c>
      <c r="Q293" t="n">
        <v>0</v>
      </c>
      <c r="R293" s="2" t="inlineStr"/>
    </row>
    <row r="294" ht="15" customHeight="1">
      <c r="A294" t="inlineStr">
        <is>
          <t>A 45827-2024</t>
        </is>
      </c>
      <c r="B294" s="1" t="n">
        <v>45579</v>
      </c>
      <c r="C294" s="1" t="n">
        <v>46035</v>
      </c>
      <c r="D294" t="inlineStr">
        <is>
          <t>VÄRMLANDS LÄN</t>
        </is>
      </c>
      <c r="E294" t="inlineStr">
        <is>
          <t>ÅRJÄNG</t>
        </is>
      </c>
      <c r="G294" t="n">
        <v>4.9</v>
      </c>
      <c r="H294" t="n">
        <v>0</v>
      </c>
      <c r="I294" t="n">
        <v>0</v>
      </c>
      <c r="J294" t="n">
        <v>0</v>
      </c>
      <c r="K294" t="n">
        <v>0</v>
      </c>
      <c r="L294" t="n">
        <v>0</v>
      </c>
      <c r="M294" t="n">
        <v>0</v>
      </c>
      <c r="N294" t="n">
        <v>0</v>
      </c>
      <c r="O294" t="n">
        <v>0</v>
      </c>
      <c r="P294" t="n">
        <v>0</v>
      </c>
      <c r="Q294" t="n">
        <v>0</v>
      </c>
      <c r="R294" s="2" t="inlineStr"/>
    </row>
    <row r="295" ht="15" customHeight="1">
      <c r="A295" t="inlineStr">
        <is>
          <t>A 32778-2024</t>
        </is>
      </c>
      <c r="B295" s="1" t="n">
        <v>45516.5083912037</v>
      </c>
      <c r="C295" s="1" t="n">
        <v>46035</v>
      </c>
      <c r="D295" t="inlineStr">
        <is>
          <t>VÄRMLANDS LÄN</t>
        </is>
      </c>
      <c r="E295" t="inlineStr">
        <is>
          <t>ÅRJÄNG</t>
        </is>
      </c>
      <c r="G295" t="n">
        <v>2.8</v>
      </c>
      <c r="H295" t="n">
        <v>0</v>
      </c>
      <c r="I295" t="n">
        <v>0</v>
      </c>
      <c r="J295" t="n">
        <v>0</v>
      </c>
      <c r="K295" t="n">
        <v>0</v>
      </c>
      <c r="L295" t="n">
        <v>0</v>
      </c>
      <c r="M295" t="n">
        <v>0</v>
      </c>
      <c r="N295" t="n">
        <v>0</v>
      </c>
      <c r="O295" t="n">
        <v>0</v>
      </c>
      <c r="P295" t="n">
        <v>0</v>
      </c>
      <c r="Q295" t="n">
        <v>0</v>
      </c>
      <c r="R295" s="2" t="inlineStr"/>
    </row>
    <row r="296" ht="15" customHeight="1">
      <c r="A296" t="inlineStr">
        <is>
          <t>A 16791-2025</t>
        </is>
      </c>
      <c r="B296" s="1" t="n">
        <v>45754</v>
      </c>
      <c r="C296" s="1" t="n">
        <v>46035</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11805-2024</t>
        </is>
      </c>
      <c r="B297" s="1" t="n">
        <v>45375.76523148148</v>
      </c>
      <c r="C297" s="1" t="n">
        <v>46035</v>
      </c>
      <c r="D297" t="inlineStr">
        <is>
          <t>VÄRMLANDS LÄN</t>
        </is>
      </c>
      <c r="E297" t="inlineStr">
        <is>
          <t>ÅRJÄNG</t>
        </is>
      </c>
      <c r="G297" t="n">
        <v>4.4</v>
      </c>
      <c r="H297" t="n">
        <v>0</v>
      </c>
      <c r="I297" t="n">
        <v>0</v>
      </c>
      <c r="J297" t="n">
        <v>0</v>
      </c>
      <c r="K297" t="n">
        <v>0</v>
      </c>
      <c r="L297" t="n">
        <v>0</v>
      </c>
      <c r="M297" t="n">
        <v>0</v>
      </c>
      <c r="N297" t="n">
        <v>0</v>
      </c>
      <c r="O297" t="n">
        <v>0</v>
      </c>
      <c r="P297" t="n">
        <v>0</v>
      </c>
      <c r="Q297" t="n">
        <v>0</v>
      </c>
      <c r="R297" s="2" t="inlineStr"/>
    </row>
    <row r="298" ht="15" customHeight="1">
      <c r="A298" t="inlineStr">
        <is>
          <t>A 15828-2024</t>
        </is>
      </c>
      <c r="B298" s="1" t="n">
        <v>45404</v>
      </c>
      <c r="C298" s="1" t="n">
        <v>46035</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47629-2025</t>
        </is>
      </c>
      <c r="B299" s="1" t="n">
        <v>45931</v>
      </c>
      <c r="C299" s="1" t="n">
        <v>46035</v>
      </c>
      <c r="D299" t="inlineStr">
        <is>
          <t>VÄRMLANDS LÄN</t>
        </is>
      </c>
      <c r="E299" t="inlineStr">
        <is>
          <t>ÅRJÄNG</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42230-2024</t>
        </is>
      </c>
      <c r="B300" s="1" t="n">
        <v>45562</v>
      </c>
      <c r="C300" s="1" t="n">
        <v>46035</v>
      </c>
      <c r="D300" t="inlineStr">
        <is>
          <t>VÄRMLANDS LÄN</t>
        </is>
      </c>
      <c r="E300" t="inlineStr">
        <is>
          <t>ÅRJÄNG</t>
        </is>
      </c>
      <c r="G300" t="n">
        <v>8.6</v>
      </c>
      <c r="H300" t="n">
        <v>0</v>
      </c>
      <c r="I300" t="n">
        <v>0</v>
      </c>
      <c r="J300" t="n">
        <v>0</v>
      </c>
      <c r="K300" t="n">
        <v>0</v>
      </c>
      <c r="L300" t="n">
        <v>0</v>
      </c>
      <c r="M300" t="n">
        <v>0</v>
      </c>
      <c r="N300" t="n">
        <v>0</v>
      </c>
      <c r="O300" t="n">
        <v>0</v>
      </c>
      <c r="P300" t="n">
        <v>0</v>
      </c>
      <c r="Q300" t="n">
        <v>0</v>
      </c>
      <c r="R300" s="2" t="inlineStr"/>
    </row>
    <row r="301" ht="15" customHeight="1">
      <c r="A301" t="inlineStr">
        <is>
          <t>A 47572-2025</t>
        </is>
      </c>
      <c r="B301" s="1" t="n">
        <v>45931.39658564814</v>
      </c>
      <c r="C301" s="1" t="n">
        <v>46035</v>
      </c>
      <c r="D301" t="inlineStr">
        <is>
          <t>VÄRMLANDS LÄN</t>
        </is>
      </c>
      <c r="E301" t="inlineStr">
        <is>
          <t>ÅRJÄNG</t>
        </is>
      </c>
      <c r="G301" t="n">
        <v>0.7</v>
      </c>
      <c r="H301" t="n">
        <v>0</v>
      </c>
      <c r="I301" t="n">
        <v>0</v>
      </c>
      <c r="J301" t="n">
        <v>0</v>
      </c>
      <c r="K301" t="n">
        <v>0</v>
      </c>
      <c r="L301" t="n">
        <v>0</v>
      </c>
      <c r="M301" t="n">
        <v>0</v>
      </c>
      <c r="N301" t="n">
        <v>0</v>
      </c>
      <c r="O301" t="n">
        <v>0</v>
      </c>
      <c r="P301" t="n">
        <v>0</v>
      </c>
      <c r="Q301" t="n">
        <v>0</v>
      </c>
      <c r="R301" s="2" t="inlineStr"/>
    </row>
    <row r="302" ht="15" customHeight="1">
      <c r="A302" t="inlineStr">
        <is>
          <t>A 30459-2022</t>
        </is>
      </c>
      <c r="B302" s="1" t="n">
        <v>44761</v>
      </c>
      <c r="C302" s="1" t="n">
        <v>46035</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47623-2025</t>
        </is>
      </c>
      <c r="B303" s="1" t="n">
        <v>45931</v>
      </c>
      <c r="C303" s="1" t="n">
        <v>46035</v>
      </c>
      <c r="D303" t="inlineStr">
        <is>
          <t>VÄRMLANDS LÄN</t>
        </is>
      </c>
      <c r="E303" t="inlineStr">
        <is>
          <t>ÅRJÄNG</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40490-2022</t>
        </is>
      </c>
      <c r="B304" s="1" t="n">
        <v>44823.58560185185</v>
      </c>
      <c r="C304" s="1" t="n">
        <v>46035</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4404-2025</t>
        </is>
      </c>
      <c r="B305" s="1" t="n">
        <v>45686</v>
      </c>
      <c r="C305" s="1" t="n">
        <v>46035</v>
      </c>
      <c r="D305" t="inlineStr">
        <is>
          <t>VÄRMLANDS LÄN</t>
        </is>
      </c>
      <c r="E305" t="inlineStr">
        <is>
          <t>ÅRJÄNG</t>
        </is>
      </c>
      <c r="F305" t="inlineStr">
        <is>
          <t>Kyrkan</t>
        </is>
      </c>
      <c r="G305" t="n">
        <v>4.8</v>
      </c>
      <c r="H305" t="n">
        <v>0</v>
      </c>
      <c r="I305" t="n">
        <v>0</v>
      </c>
      <c r="J305" t="n">
        <v>0</v>
      </c>
      <c r="K305" t="n">
        <v>0</v>
      </c>
      <c r="L305" t="n">
        <v>0</v>
      </c>
      <c r="M305" t="n">
        <v>0</v>
      </c>
      <c r="N305" t="n">
        <v>0</v>
      </c>
      <c r="O305" t="n">
        <v>0</v>
      </c>
      <c r="P305" t="n">
        <v>0</v>
      </c>
      <c r="Q305" t="n">
        <v>0</v>
      </c>
      <c r="R305" s="2" t="inlineStr"/>
    </row>
    <row r="306" ht="15" customHeight="1">
      <c r="A306" t="inlineStr">
        <is>
          <t>A 4189-2025</t>
        </is>
      </c>
      <c r="B306" s="1" t="n">
        <v>45685</v>
      </c>
      <c r="C306" s="1" t="n">
        <v>46035</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20747-2025</t>
        </is>
      </c>
      <c r="B307" s="1" t="n">
        <v>45776.56221064815</v>
      </c>
      <c r="C307" s="1" t="n">
        <v>46035</v>
      </c>
      <c r="D307" t="inlineStr">
        <is>
          <t>VÄRMLANDS LÄN</t>
        </is>
      </c>
      <c r="E307" t="inlineStr">
        <is>
          <t>ÅRJÄNG</t>
        </is>
      </c>
      <c r="G307" t="n">
        <v>12.2</v>
      </c>
      <c r="H307" t="n">
        <v>0</v>
      </c>
      <c r="I307" t="n">
        <v>0</v>
      </c>
      <c r="J307" t="n">
        <v>0</v>
      </c>
      <c r="K307" t="n">
        <v>0</v>
      </c>
      <c r="L307" t="n">
        <v>0</v>
      </c>
      <c r="M307" t="n">
        <v>0</v>
      </c>
      <c r="N307" t="n">
        <v>0</v>
      </c>
      <c r="O307" t="n">
        <v>0</v>
      </c>
      <c r="P307" t="n">
        <v>0</v>
      </c>
      <c r="Q307" t="n">
        <v>0</v>
      </c>
      <c r="R307" s="2" t="inlineStr"/>
    </row>
    <row r="308" ht="15" customHeight="1">
      <c r="A308" t="inlineStr">
        <is>
          <t>A 48206-2025</t>
        </is>
      </c>
      <c r="B308" s="1" t="n">
        <v>45933.4884837963</v>
      </c>
      <c r="C308" s="1" t="n">
        <v>46035</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28115-2025</t>
        </is>
      </c>
      <c r="B309" s="1" t="n">
        <v>45818</v>
      </c>
      <c r="C309" s="1" t="n">
        <v>46035</v>
      </c>
      <c r="D309" t="inlineStr">
        <is>
          <t>VÄRMLANDS LÄN</t>
        </is>
      </c>
      <c r="E309" t="inlineStr">
        <is>
          <t>ÅRJÄNG</t>
        </is>
      </c>
      <c r="G309" t="n">
        <v>3</v>
      </c>
      <c r="H309" t="n">
        <v>0</v>
      </c>
      <c r="I309" t="n">
        <v>0</v>
      </c>
      <c r="J309" t="n">
        <v>0</v>
      </c>
      <c r="K309" t="n">
        <v>0</v>
      </c>
      <c r="L309" t="n">
        <v>0</v>
      </c>
      <c r="M309" t="n">
        <v>0</v>
      </c>
      <c r="N309" t="n">
        <v>0</v>
      </c>
      <c r="O309" t="n">
        <v>0</v>
      </c>
      <c r="P309" t="n">
        <v>0</v>
      </c>
      <c r="Q309" t="n">
        <v>0</v>
      </c>
      <c r="R309" s="2" t="inlineStr"/>
    </row>
    <row r="310" ht="15" customHeight="1">
      <c r="A310" t="inlineStr">
        <is>
          <t>A 59385-2023</t>
        </is>
      </c>
      <c r="B310" s="1" t="n">
        <v>45253</v>
      </c>
      <c r="C310" s="1" t="n">
        <v>46035</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13036-2025</t>
        </is>
      </c>
      <c r="B311" s="1" t="n">
        <v>45734.57474537037</v>
      </c>
      <c r="C311" s="1" t="n">
        <v>46035</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20975-2025</t>
        </is>
      </c>
      <c r="B312" s="1" t="n">
        <v>45777.45922453704</v>
      </c>
      <c r="C312" s="1" t="n">
        <v>46035</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9909-2024</t>
        </is>
      </c>
      <c r="B313" s="1" t="n">
        <v>45363.53642361111</v>
      </c>
      <c r="C313" s="1" t="n">
        <v>46035</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20957-2025</t>
        </is>
      </c>
      <c r="B314" s="1" t="n">
        <v>45777.44613425926</v>
      </c>
      <c r="C314" s="1" t="n">
        <v>46035</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51109-2022</t>
        </is>
      </c>
      <c r="B315" s="1" t="n">
        <v>44868.43569444444</v>
      </c>
      <c r="C315" s="1" t="n">
        <v>46035</v>
      </c>
      <c r="D315" t="inlineStr">
        <is>
          <t>VÄRMLANDS LÄN</t>
        </is>
      </c>
      <c r="E315" t="inlineStr">
        <is>
          <t>ÅRJÄNG</t>
        </is>
      </c>
      <c r="G315" t="n">
        <v>4.3</v>
      </c>
      <c r="H315" t="n">
        <v>0</v>
      </c>
      <c r="I315" t="n">
        <v>0</v>
      </c>
      <c r="J315" t="n">
        <v>0</v>
      </c>
      <c r="K315" t="n">
        <v>0</v>
      </c>
      <c r="L315" t="n">
        <v>0</v>
      </c>
      <c r="M315" t="n">
        <v>0</v>
      </c>
      <c r="N315" t="n">
        <v>0</v>
      </c>
      <c r="O315" t="n">
        <v>0</v>
      </c>
      <c r="P315" t="n">
        <v>0</v>
      </c>
      <c r="Q315" t="n">
        <v>0</v>
      </c>
      <c r="R315" s="2" t="inlineStr"/>
    </row>
    <row r="316" ht="15" customHeight="1">
      <c r="A316" t="inlineStr">
        <is>
          <t>A 41986-2022</t>
        </is>
      </c>
      <c r="B316" s="1" t="n">
        <v>44830.4380787037</v>
      </c>
      <c r="C316" s="1" t="n">
        <v>46035</v>
      </c>
      <c r="D316" t="inlineStr">
        <is>
          <t>VÄRMLANDS LÄN</t>
        </is>
      </c>
      <c r="E316" t="inlineStr">
        <is>
          <t>ÅRJÄNG</t>
        </is>
      </c>
      <c r="G316" t="n">
        <v>4.3</v>
      </c>
      <c r="H316" t="n">
        <v>0</v>
      </c>
      <c r="I316" t="n">
        <v>0</v>
      </c>
      <c r="J316" t="n">
        <v>0</v>
      </c>
      <c r="K316" t="n">
        <v>0</v>
      </c>
      <c r="L316" t="n">
        <v>0</v>
      </c>
      <c r="M316" t="n">
        <v>0</v>
      </c>
      <c r="N316" t="n">
        <v>0</v>
      </c>
      <c r="O316" t="n">
        <v>0</v>
      </c>
      <c r="P316" t="n">
        <v>0</v>
      </c>
      <c r="Q316" t="n">
        <v>0</v>
      </c>
      <c r="R316" s="2" t="inlineStr"/>
    </row>
    <row r="317" ht="15" customHeight="1">
      <c r="A317" t="inlineStr">
        <is>
          <t>A 19511-2024</t>
        </is>
      </c>
      <c r="B317" s="1" t="n">
        <v>45429.6099537037</v>
      </c>
      <c r="C317" s="1" t="n">
        <v>46035</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19516-2024</t>
        </is>
      </c>
      <c r="B318" s="1" t="n">
        <v>45429.61491898148</v>
      </c>
      <c r="C318" s="1" t="n">
        <v>46035</v>
      </c>
      <c r="D318" t="inlineStr">
        <is>
          <t>VÄRMLANDS LÄN</t>
        </is>
      </c>
      <c r="E318" t="inlineStr">
        <is>
          <t>ÅRJÄNG</t>
        </is>
      </c>
      <c r="G318" t="n">
        <v>1.2</v>
      </c>
      <c r="H318" t="n">
        <v>0</v>
      </c>
      <c r="I318" t="n">
        <v>0</v>
      </c>
      <c r="J318" t="n">
        <v>0</v>
      </c>
      <c r="K318" t="n">
        <v>0</v>
      </c>
      <c r="L318" t="n">
        <v>0</v>
      </c>
      <c r="M318" t="n">
        <v>0</v>
      </c>
      <c r="N318" t="n">
        <v>0</v>
      </c>
      <c r="O318" t="n">
        <v>0</v>
      </c>
      <c r="P318" t="n">
        <v>0</v>
      </c>
      <c r="Q318" t="n">
        <v>0</v>
      </c>
      <c r="R318" s="2" t="inlineStr"/>
    </row>
    <row r="319" ht="15" customHeight="1">
      <c r="A319" t="inlineStr">
        <is>
          <t>A 6034-2021</t>
        </is>
      </c>
      <c r="B319" s="1" t="n">
        <v>44232.33623842592</v>
      </c>
      <c r="C319" s="1" t="n">
        <v>46035</v>
      </c>
      <c r="D319" t="inlineStr">
        <is>
          <t>VÄRMLANDS LÄN</t>
        </is>
      </c>
      <c r="E319" t="inlineStr">
        <is>
          <t>ÅRJÄNG</t>
        </is>
      </c>
      <c r="G319" t="n">
        <v>0.5</v>
      </c>
      <c r="H319" t="n">
        <v>0</v>
      </c>
      <c r="I319" t="n">
        <v>0</v>
      </c>
      <c r="J319" t="n">
        <v>0</v>
      </c>
      <c r="K319" t="n">
        <v>0</v>
      </c>
      <c r="L319" t="n">
        <v>0</v>
      </c>
      <c r="M319" t="n">
        <v>0</v>
      </c>
      <c r="N319" t="n">
        <v>0</v>
      </c>
      <c r="O319" t="n">
        <v>0</v>
      </c>
      <c r="P319" t="n">
        <v>0</v>
      </c>
      <c r="Q319" t="n">
        <v>0</v>
      </c>
      <c r="R319" s="2" t="inlineStr"/>
    </row>
    <row r="320" ht="15" customHeight="1">
      <c r="A320" t="inlineStr">
        <is>
          <t>A 13734-2024</t>
        </is>
      </c>
      <c r="B320" s="1" t="n">
        <v>45387</v>
      </c>
      <c r="C320" s="1" t="n">
        <v>46035</v>
      </c>
      <c r="D320" t="inlineStr">
        <is>
          <t>VÄRMLANDS LÄN</t>
        </is>
      </c>
      <c r="E320" t="inlineStr">
        <is>
          <t>ÅRJÄNG</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19850-2025</t>
        </is>
      </c>
      <c r="B321" s="1" t="n">
        <v>45771</v>
      </c>
      <c r="C321" s="1" t="n">
        <v>46035</v>
      </c>
      <c r="D321" t="inlineStr">
        <is>
          <t>VÄRMLANDS LÄN</t>
        </is>
      </c>
      <c r="E321" t="inlineStr">
        <is>
          <t>ÅRJÄNG</t>
        </is>
      </c>
      <c r="G321" t="n">
        <v>14</v>
      </c>
      <c r="H321" t="n">
        <v>0</v>
      </c>
      <c r="I321" t="n">
        <v>0</v>
      </c>
      <c r="J321" t="n">
        <v>0</v>
      </c>
      <c r="K321" t="n">
        <v>0</v>
      </c>
      <c r="L321" t="n">
        <v>0</v>
      </c>
      <c r="M321" t="n">
        <v>0</v>
      </c>
      <c r="N321" t="n">
        <v>0</v>
      </c>
      <c r="O321" t="n">
        <v>0</v>
      </c>
      <c r="P321" t="n">
        <v>0</v>
      </c>
      <c r="Q321" t="n">
        <v>0</v>
      </c>
      <c r="R321" s="2" t="inlineStr"/>
    </row>
    <row r="322" ht="15" customHeight="1">
      <c r="A322" t="inlineStr">
        <is>
          <t>A 13824-2024</t>
        </is>
      </c>
      <c r="B322" s="1" t="n">
        <v>45391.42951388889</v>
      </c>
      <c r="C322" s="1" t="n">
        <v>46035</v>
      </c>
      <c r="D322" t="inlineStr">
        <is>
          <t>VÄRMLANDS LÄN</t>
        </is>
      </c>
      <c r="E322" t="inlineStr">
        <is>
          <t>ÅRJÄNG</t>
        </is>
      </c>
      <c r="G322" t="n">
        <v>1.9</v>
      </c>
      <c r="H322" t="n">
        <v>0</v>
      </c>
      <c r="I322" t="n">
        <v>0</v>
      </c>
      <c r="J322" t="n">
        <v>0</v>
      </c>
      <c r="K322" t="n">
        <v>0</v>
      </c>
      <c r="L322" t="n">
        <v>0</v>
      </c>
      <c r="M322" t="n">
        <v>0</v>
      </c>
      <c r="N322" t="n">
        <v>0</v>
      </c>
      <c r="O322" t="n">
        <v>0</v>
      </c>
      <c r="P322" t="n">
        <v>0</v>
      </c>
      <c r="Q322" t="n">
        <v>0</v>
      </c>
      <c r="R322" s="2" t="inlineStr"/>
    </row>
    <row r="323" ht="15" customHeight="1">
      <c r="A323" t="inlineStr">
        <is>
          <t>A 74430-2021</t>
        </is>
      </c>
      <c r="B323" s="1" t="n">
        <v>44560.43342592593</v>
      </c>
      <c r="C323" s="1" t="n">
        <v>46035</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15148-2025</t>
        </is>
      </c>
      <c r="B324" s="1" t="n">
        <v>45744.45298611111</v>
      </c>
      <c r="C324" s="1" t="n">
        <v>46035</v>
      </c>
      <c r="D324" t="inlineStr">
        <is>
          <t>VÄRMLANDS LÄN</t>
        </is>
      </c>
      <c r="E324" t="inlineStr">
        <is>
          <t>ÅRJÄNG</t>
        </is>
      </c>
      <c r="G324" t="n">
        <v>1.4</v>
      </c>
      <c r="H324" t="n">
        <v>0</v>
      </c>
      <c r="I324" t="n">
        <v>0</v>
      </c>
      <c r="J324" t="n">
        <v>0</v>
      </c>
      <c r="K324" t="n">
        <v>0</v>
      </c>
      <c r="L324" t="n">
        <v>0</v>
      </c>
      <c r="M324" t="n">
        <v>0</v>
      </c>
      <c r="N324" t="n">
        <v>0</v>
      </c>
      <c r="O324" t="n">
        <v>0</v>
      </c>
      <c r="P324" t="n">
        <v>0</v>
      </c>
      <c r="Q324" t="n">
        <v>0</v>
      </c>
      <c r="R324" s="2" t="inlineStr"/>
    </row>
    <row r="325" ht="15" customHeight="1">
      <c r="A325" t="inlineStr">
        <is>
          <t>A 19877-2025</t>
        </is>
      </c>
      <c r="B325" s="1" t="n">
        <v>45771.55351851852</v>
      </c>
      <c r="C325" s="1" t="n">
        <v>46035</v>
      </c>
      <c r="D325" t="inlineStr">
        <is>
          <t>VÄRMLANDS LÄN</t>
        </is>
      </c>
      <c r="E325" t="inlineStr">
        <is>
          <t>ÅRJÄNG</t>
        </is>
      </c>
      <c r="G325" t="n">
        <v>6.3</v>
      </c>
      <c r="H325" t="n">
        <v>0</v>
      </c>
      <c r="I325" t="n">
        <v>0</v>
      </c>
      <c r="J325" t="n">
        <v>0</v>
      </c>
      <c r="K325" t="n">
        <v>0</v>
      </c>
      <c r="L325" t="n">
        <v>0</v>
      </c>
      <c r="M325" t="n">
        <v>0</v>
      </c>
      <c r="N325" t="n">
        <v>0</v>
      </c>
      <c r="O325" t="n">
        <v>0</v>
      </c>
      <c r="P325" t="n">
        <v>0</v>
      </c>
      <c r="Q325" t="n">
        <v>0</v>
      </c>
      <c r="R325" s="2" t="inlineStr"/>
    </row>
    <row r="326" ht="15" customHeight="1">
      <c r="A326" t="inlineStr">
        <is>
          <t>A 26880-2023</t>
        </is>
      </c>
      <c r="B326" s="1" t="n">
        <v>45093.58373842593</v>
      </c>
      <c r="C326" s="1" t="n">
        <v>46035</v>
      </c>
      <c r="D326" t="inlineStr">
        <is>
          <t>VÄRMLANDS LÄN</t>
        </is>
      </c>
      <c r="E326" t="inlineStr">
        <is>
          <t>ÅRJÄNG</t>
        </is>
      </c>
      <c r="G326" t="n">
        <v>3.6</v>
      </c>
      <c r="H326" t="n">
        <v>0</v>
      </c>
      <c r="I326" t="n">
        <v>0</v>
      </c>
      <c r="J326" t="n">
        <v>0</v>
      </c>
      <c r="K326" t="n">
        <v>0</v>
      </c>
      <c r="L326" t="n">
        <v>0</v>
      </c>
      <c r="M326" t="n">
        <v>0</v>
      </c>
      <c r="N326" t="n">
        <v>0</v>
      </c>
      <c r="O326" t="n">
        <v>0</v>
      </c>
      <c r="P326" t="n">
        <v>0</v>
      </c>
      <c r="Q326" t="n">
        <v>0</v>
      </c>
      <c r="R326" s="2" t="inlineStr"/>
    </row>
    <row r="327" ht="15" customHeight="1">
      <c r="A327" t="inlineStr">
        <is>
          <t>A 13998-2024</t>
        </is>
      </c>
      <c r="B327" s="1" t="n">
        <v>45392</v>
      </c>
      <c r="C327" s="1" t="n">
        <v>46035</v>
      </c>
      <c r="D327" t="inlineStr">
        <is>
          <t>VÄRMLANDS LÄN</t>
        </is>
      </c>
      <c r="E327" t="inlineStr">
        <is>
          <t>ÅRJÄNG</t>
        </is>
      </c>
      <c r="G327" t="n">
        <v>1.8</v>
      </c>
      <c r="H327" t="n">
        <v>0</v>
      </c>
      <c r="I327" t="n">
        <v>0</v>
      </c>
      <c r="J327" t="n">
        <v>0</v>
      </c>
      <c r="K327" t="n">
        <v>0</v>
      </c>
      <c r="L327" t="n">
        <v>0</v>
      </c>
      <c r="M327" t="n">
        <v>0</v>
      </c>
      <c r="N327" t="n">
        <v>0</v>
      </c>
      <c r="O327" t="n">
        <v>0</v>
      </c>
      <c r="P327" t="n">
        <v>0</v>
      </c>
      <c r="Q327" t="n">
        <v>0</v>
      </c>
      <c r="R327" s="2" t="inlineStr"/>
    </row>
    <row r="328" ht="15" customHeight="1">
      <c r="A328" t="inlineStr">
        <is>
          <t>A 15953-2025</t>
        </is>
      </c>
      <c r="B328" s="1" t="n">
        <v>45749</v>
      </c>
      <c r="C328" s="1" t="n">
        <v>46035</v>
      </c>
      <c r="D328" t="inlineStr">
        <is>
          <t>VÄRMLANDS LÄN</t>
        </is>
      </c>
      <c r="E328" t="inlineStr">
        <is>
          <t>ÅRJÄNG</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21258-2025</t>
        </is>
      </c>
      <c r="B329" s="1" t="n">
        <v>45779.59001157407</v>
      </c>
      <c r="C329" s="1" t="n">
        <v>46035</v>
      </c>
      <c r="D329" t="inlineStr">
        <is>
          <t>VÄRMLANDS LÄN</t>
        </is>
      </c>
      <c r="E329" t="inlineStr">
        <is>
          <t>ÅRJÄNG</t>
        </is>
      </c>
      <c r="G329" t="n">
        <v>2.9</v>
      </c>
      <c r="H329" t="n">
        <v>0</v>
      </c>
      <c r="I329" t="n">
        <v>0</v>
      </c>
      <c r="J329" t="n">
        <v>0</v>
      </c>
      <c r="K329" t="n">
        <v>0</v>
      </c>
      <c r="L329" t="n">
        <v>0</v>
      </c>
      <c r="M329" t="n">
        <v>0</v>
      </c>
      <c r="N329" t="n">
        <v>0</v>
      </c>
      <c r="O329" t="n">
        <v>0</v>
      </c>
      <c r="P329" t="n">
        <v>0</v>
      </c>
      <c r="Q329" t="n">
        <v>0</v>
      </c>
      <c r="R329" s="2" t="inlineStr"/>
    </row>
    <row r="330" ht="15" customHeight="1">
      <c r="A330" t="inlineStr">
        <is>
          <t>A 48658-2025</t>
        </is>
      </c>
      <c r="B330" s="1" t="n">
        <v>45936.56628472222</v>
      </c>
      <c r="C330" s="1" t="n">
        <v>46035</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14768-2024</t>
        </is>
      </c>
      <c r="B331" s="1" t="n">
        <v>45397</v>
      </c>
      <c r="C331" s="1" t="n">
        <v>46035</v>
      </c>
      <c r="D331" t="inlineStr">
        <is>
          <t>VÄRMLANDS LÄN</t>
        </is>
      </c>
      <c r="E331" t="inlineStr">
        <is>
          <t>ÅRJÄNG</t>
        </is>
      </c>
      <c r="G331" t="n">
        <v>1.9</v>
      </c>
      <c r="H331" t="n">
        <v>0</v>
      </c>
      <c r="I331" t="n">
        <v>0</v>
      </c>
      <c r="J331" t="n">
        <v>0</v>
      </c>
      <c r="K331" t="n">
        <v>0</v>
      </c>
      <c r="L331" t="n">
        <v>0</v>
      </c>
      <c r="M331" t="n">
        <v>0</v>
      </c>
      <c r="N331" t="n">
        <v>0</v>
      </c>
      <c r="O331" t="n">
        <v>0</v>
      </c>
      <c r="P331" t="n">
        <v>0</v>
      </c>
      <c r="Q331" t="n">
        <v>0</v>
      </c>
      <c r="R331" s="2" t="inlineStr"/>
    </row>
    <row r="332" ht="15" customHeight="1">
      <c r="A332" t="inlineStr">
        <is>
          <t>A 39094-2025</t>
        </is>
      </c>
      <c r="B332" s="1" t="n">
        <v>45888.4933912037</v>
      </c>
      <c r="C332" s="1" t="n">
        <v>46035</v>
      </c>
      <c r="D332" t="inlineStr">
        <is>
          <t>VÄRMLANDS LÄN</t>
        </is>
      </c>
      <c r="E332" t="inlineStr">
        <is>
          <t>ÅRJÄNG</t>
        </is>
      </c>
      <c r="G332" t="n">
        <v>0.9</v>
      </c>
      <c r="H332" t="n">
        <v>0</v>
      </c>
      <c r="I332" t="n">
        <v>0</v>
      </c>
      <c r="J332" t="n">
        <v>0</v>
      </c>
      <c r="K332" t="n">
        <v>0</v>
      </c>
      <c r="L332" t="n">
        <v>0</v>
      </c>
      <c r="M332" t="n">
        <v>0</v>
      </c>
      <c r="N332" t="n">
        <v>0</v>
      </c>
      <c r="O332" t="n">
        <v>0</v>
      </c>
      <c r="P332" t="n">
        <v>0</v>
      </c>
      <c r="Q332" t="n">
        <v>0</v>
      </c>
      <c r="R332" s="2" t="inlineStr"/>
    </row>
    <row r="333" ht="15" customHeight="1">
      <c r="A333" t="inlineStr">
        <is>
          <t>A 39096-2025</t>
        </is>
      </c>
      <c r="B333" s="1" t="n">
        <v>45888.50145833333</v>
      </c>
      <c r="C333" s="1" t="n">
        <v>46035</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48156-2025</t>
        </is>
      </c>
      <c r="B334" s="1" t="n">
        <v>45933.41744212963</v>
      </c>
      <c r="C334" s="1" t="n">
        <v>46035</v>
      </c>
      <c r="D334" t="inlineStr">
        <is>
          <t>VÄRMLANDS LÄN</t>
        </is>
      </c>
      <c r="E334" t="inlineStr">
        <is>
          <t>ÅRJÄNG</t>
        </is>
      </c>
      <c r="G334" t="n">
        <v>1.6</v>
      </c>
      <c r="H334" t="n">
        <v>0</v>
      </c>
      <c r="I334" t="n">
        <v>0</v>
      </c>
      <c r="J334" t="n">
        <v>0</v>
      </c>
      <c r="K334" t="n">
        <v>0</v>
      </c>
      <c r="L334" t="n">
        <v>0</v>
      </c>
      <c r="M334" t="n">
        <v>0</v>
      </c>
      <c r="N334" t="n">
        <v>0</v>
      </c>
      <c r="O334" t="n">
        <v>0</v>
      </c>
      <c r="P334" t="n">
        <v>0</v>
      </c>
      <c r="Q334" t="n">
        <v>0</v>
      </c>
      <c r="R334" s="2" t="inlineStr"/>
    </row>
    <row r="335" ht="15" customHeight="1">
      <c r="A335" t="inlineStr">
        <is>
          <t>A 44647-2021</t>
        </is>
      </c>
      <c r="B335" s="1" t="n">
        <v>44437.83967592593</v>
      </c>
      <c r="C335" s="1" t="n">
        <v>46035</v>
      </c>
      <c r="D335" t="inlineStr">
        <is>
          <t>VÄRMLANDS LÄN</t>
        </is>
      </c>
      <c r="E335" t="inlineStr">
        <is>
          <t>ÅRJÄNG</t>
        </is>
      </c>
      <c r="G335" t="n">
        <v>3</v>
      </c>
      <c r="H335" t="n">
        <v>0</v>
      </c>
      <c r="I335" t="n">
        <v>0</v>
      </c>
      <c r="J335" t="n">
        <v>0</v>
      </c>
      <c r="K335" t="n">
        <v>0</v>
      </c>
      <c r="L335" t="n">
        <v>0</v>
      </c>
      <c r="M335" t="n">
        <v>0</v>
      </c>
      <c r="N335" t="n">
        <v>0</v>
      </c>
      <c r="O335" t="n">
        <v>0</v>
      </c>
      <c r="P335" t="n">
        <v>0</v>
      </c>
      <c r="Q335" t="n">
        <v>0</v>
      </c>
      <c r="R335" s="2" t="inlineStr"/>
    </row>
    <row r="336" ht="15" customHeight="1">
      <c r="A336" t="inlineStr">
        <is>
          <t>A 39079-2025</t>
        </is>
      </c>
      <c r="B336" s="1" t="n">
        <v>45888.48422453704</v>
      </c>
      <c r="C336" s="1" t="n">
        <v>46035</v>
      </c>
      <c r="D336" t="inlineStr">
        <is>
          <t>VÄRMLANDS LÄN</t>
        </is>
      </c>
      <c r="E336" t="inlineStr">
        <is>
          <t>ÅRJÄNG</t>
        </is>
      </c>
      <c r="G336" t="n">
        <v>1.6</v>
      </c>
      <c r="H336" t="n">
        <v>0</v>
      </c>
      <c r="I336" t="n">
        <v>0</v>
      </c>
      <c r="J336" t="n">
        <v>0</v>
      </c>
      <c r="K336" t="n">
        <v>0</v>
      </c>
      <c r="L336" t="n">
        <v>0</v>
      </c>
      <c r="M336" t="n">
        <v>0</v>
      </c>
      <c r="N336" t="n">
        <v>0</v>
      </c>
      <c r="O336" t="n">
        <v>0</v>
      </c>
      <c r="P336" t="n">
        <v>0</v>
      </c>
      <c r="Q336" t="n">
        <v>0</v>
      </c>
      <c r="R336" s="2" t="inlineStr"/>
    </row>
    <row r="337" ht="15" customHeight="1">
      <c r="A337" t="inlineStr">
        <is>
          <t>A 48567-2025</t>
        </is>
      </c>
      <c r="B337" s="1" t="n">
        <v>45936.44805555556</v>
      </c>
      <c r="C337" s="1" t="n">
        <v>46035</v>
      </c>
      <c r="D337" t="inlineStr">
        <is>
          <t>VÄRMLANDS LÄN</t>
        </is>
      </c>
      <c r="E337" t="inlineStr">
        <is>
          <t>ÅRJÄNG</t>
        </is>
      </c>
      <c r="G337" t="n">
        <v>4</v>
      </c>
      <c r="H337" t="n">
        <v>0</v>
      </c>
      <c r="I337" t="n">
        <v>0</v>
      </c>
      <c r="J337" t="n">
        <v>0</v>
      </c>
      <c r="K337" t="n">
        <v>0</v>
      </c>
      <c r="L337" t="n">
        <v>0</v>
      </c>
      <c r="M337" t="n">
        <v>0</v>
      </c>
      <c r="N337" t="n">
        <v>0</v>
      </c>
      <c r="O337" t="n">
        <v>0</v>
      </c>
      <c r="P337" t="n">
        <v>0</v>
      </c>
      <c r="Q337" t="n">
        <v>0</v>
      </c>
      <c r="R337" s="2" t="inlineStr"/>
    </row>
    <row r="338" ht="15" customHeight="1">
      <c r="A338" t="inlineStr">
        <is>
          <t>A 38867-2025</t>
        </is>
      </c>
      <c r="B338" s="1" t="n">
        <v>45887</v>
      </c>
      <c r="C338" s="1" t="n">
        <v>46035</v>
      </c>
      <c r="D338" t="inlineStr">
        <is>
          <t>VÄRMLANDS LÄN</t>
        </is>
      </c>
      <c r="E338" t="inlineStr">
        <is>
          <t>ÅRJÄNG</t>
        </is>
      </c>
      <c r="G338" t="n">
        <v>5.7</v>
      </c>
      <c r="H338" t="n">
        <v>0</v>
      </c>
      <c r="I338" t="n">
        <v>0</v>
      </c>
      <c r="J338" t="n">
        <v>0</v>
      </c>
      <c r="K338" t="n">
        <v>0</v>
      </c>
      <c r="L338" t="n">
        <v>0</v>
      </c>
      <c r="M338" t="n">
        <v>0</v>
      </c>
      <c r="N338" t="n">
        <v>0</v>
      </c>
      <c r="O338" t="n">
        <v>0</v>
      </c>
      <c r="P338" t="n">
        <v>0</v>
      </c>
      <c r="Q338" t="n">
        <v>0</v>
      </c>
      <c r="R338" s="2" t="inlineStr"/>
    </row>
    <row r="339" ht="15" customHeight="1">
      <c r="A339" t="inlineStr">
        <is>
          <t>A 42241-2024</t>
        </is>
      </c>
      <c r="B339" s="1" t="n">
        <v>45562</v>
      </c>
      <c r="C339" s="1" t="n">
        <v>46035</v>
      </c>
      <c r="D339" t="inlineStr">
        <is>
          <t>VÄRMLANDS LÄN</t>
        </is>
      </c>
      <c r="E339" t="inlineStr">
        <is>
          <t>ÅRJÄNG</t>
        </is>
      </c>
      <c r="G339" t="n">
        <v>4</v>
      </c>
      <c r="H339" t="n">
        <v>0</v>
      </c>
      <c r="I339" t="n">
        <v>0</v>
      </c>
      <c r="J339" t="n">
        <v>0</v>
      </c>
      <c r="K339" t="n">
        <v>0</v>
      </c>
      <c r="L339" t="n">
        <v>0</v>
      </c>
      <c r="M339" t="n">
        <v>0</v>
      </c>
      <c r="N339" t="n">
        <v>0</v>
      </c>
      <c r="O339" t="n">
        <v>0</v>
      </c>
      <c r="P339" t="n">
        <v>0</v>
      </c>
      <c r="Q339" t="n">
        <v>0</v>
      </c>
      <c r="R339" s="2" t="inlineStr"/>
    </row>
    <row r="340" ht="15" customHeight="1">
      <c r="A340" t="inlineStr">
        <is>
          <t>A 48225-2025</t>
        </is>
      </c>
      <c r="B340" s="1" t="n">
        <v>45933.50998842593</v>
      </c>
      <c r="C340" s="1" t="n">
        <v>46035</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540-2024</t>
        </is>
      </c>
      <c r="B341" s="1" t="n">
        <v>45299</v>
      </c>
      <c r="C341" s="1" t="n">
        <v>46035</v>
      </c>
      <c r="D341" t="inlineStr">
        <is>
          <t>VÄRMLANDS LÄN</t>
        </is>
      </c>
      <c r="E341" t="inlineStr">
        <is>
          <t>ÅRJÄNG</t>
        </is>
      </c>
      <c r="F341" t="inlineStr">
        <is>
          <t>Kyrkan</t>
        </is>
      </c>
      <c r="G341" t="n">
        <v>7</v>
      </c>
      <c r="H341" t="n">
        <v>0</v>
      </c>
      <c r="I341" t="n">
        <v>0</v>
      </c>
      <c r="J341" t="n">
        <v>0</v>
      </c>
      <c r="K341" t="n">
        <v>0</v>
      </c>
      <c r="L341" t="n">
        <v>0</v>
      </c>
      <c r="M341" t="n">
        <v>0</v>
      </c>
      <c r="N341" t="n">
        <v>0</v>
      </c>
      <c r="O341" t="n">
        <v>0</v>
      </c>
      <c r="P341" t="n">
        <v>0</v>
      </c>
      <c r="Q341" t="n">
        <v>0</v>
      </c>
      <c r="R341" s="2" t="inlineStr"/>
    </row>
    <row r="342" ht="15" customHeight="1">
      <c r="A342" t="inlineStr">
        <is>
          <t>A 38742-2025</t>
        </is>
      </c>
      <c r="B342" s="1" t="n">
        <v>45887.37425925926</v>
      </c>
      <c r="C342" s="1" t="n">
        <v>46035</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19410-2024</t>
        </is>
      </c>
      <c r="B343" s="1" t="n">
        <v>45429</v>
      </c>
      <c r="C343" s="1" t="n">
        <v>46035</v>
      </c>
      <c r="D343" t="inlineStr">
        <is>
          <t>VÄRMLANDS LÄN</t>
        </is>
      </c>
      <c r="E343" t="inlineStr">
        <is>
          <t>ÅRJÄNG</t>
        </is>
      </c>
      <c r="G343" t="n">
        <v>7.9</v>
      </c>
      <c r="H343" t="n">
        <v>0</v>
      </c>
      <c r="I343" t="n">
        <v>0</v>
      </c>
      <c r="J343" t="n">
        <v>0</v>
      </c>
      <c r="K343" t="n">
        <v>0</v>
      </c>
      <c r="L343" t="n">
        <v>0</v>
      </c>
      <c r="M343" t="n">
        <v>0</v>
      </c>
      <c r="N343" t="n">
        <v>0</v>
      </c>
      <c r="O343" t="n">
        <v>0</v>
      </c>
      <c r="P343" t="n">
        <v>0</v>
      </c>
      <c r="Q343" t="n">
        <v>0</v>
      </c>
      <c r="R343" s="2" t="inlineStr"/>
    </row>
    <row r="344" ht="15" customHeight="1">
      <c r="A344" t="inlineStr">
        <is>
          <t>A 11198-2025</t>
        </is>
      </c>
      <c r="B344" s="1" t="n">
        <v>45725</v>
      </c>
      <c r="C344" s="1" t="n">
        <v>46035</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23048-2024</t>
        </is>
      </c>
      <c r="B345" s="1" t="n">
        <v>45450.42488425926</v>
      </c>
      <c r="C345" s="1" t="n">
        <v>46035</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23051-2024</t>
        </is>
      </c>
      <c r="B346" s="1" t="n">
        <v>45450.42902777778</v>
      </c>
      <c r="C346" s="1" t="n">
        <v>46035</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26259-2024</t>
        </is>
      </c>
      <c r="B347" s="1" t="n">
        <v>45468</v>
      </c>
      <c r="C347" s="1" t="n">
        <v>46035</v>
      </c>
      <c r="D347" t="inlineStr">
        <is>
          <t>VÄRMLANDS LÄN</t>
        </is>
      </c>
      <c r="E347" t="inlineStr">
        <is>
          <t>ÅRJÄNG</t>
        </is>
      </c>
      <c r="G347" t="n">
        <v>4.3</v>
      </c>
      <c r="H347" t="n">
        <v>0</v>
      </c>
      <c r="I347" t="n">
        <v>0</v>
      </c>
      <c r="J347" t="n">
        <v>0</v>
      </c>
      <c r="K347" t="n">
        <v>0</v>
      </c>
      <c r="L347" t="n">
        <v>0</v>
      </c>
      <c r="M347" t="n">
        <v>0</v>
      </c>
      <c r="N347" t="n">
        <v>0</v>
      </c>
      <c r="O347" t="n">
        <v>0</v>
      </c>
      <c r="P347" t="n">
        <v>0</v>
      </c>
      <c r="Q347" t="n">
        <v>0</v>
      </c>
      <c r="R347" s="2" t="inlineStr"/>
    </row>
    <row r="348" ht="15" customHeight="1">
      <c r="A348" t="inlineStr">
        <is>
          <t>A 7193-2024</t>
        </is>
      </c>
      <c r="B348" s="1" t="n">
        <v>45344</v>
      </c>
      <c r="C348" s="1" t="n">
        <v>46035</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1467-2025</t>
        </is>
      </c>
      <c r="B349" s="1" t="n">
        <v>45667</v>
      </c>
      <c r="C349" s="1" t="n">
        <v>46035</v>
      </c>
      <c r="D349" t="inlineStr">
        <is>
          <t>VÄRMLANDS LÄN</t>
        </is>
      </c>
      <c r="E349" t="inlineStr">
        <is>
          <t>ÅRJÄNG</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57062-2022</t>
        </is>
      </c>
      <c r="B350" s="1" t="n">
        <v>44895.40797453704</v>
      </c>
      <c r="C350" s="1" t="n">
        <v>46035</v>
      </c>
      <c r="D350" t="inlineStr">
        <is>
          <t>VÄRMLANDS LÄN</t>
        </is>
      </c>
      <c r="E350" t="inlineStr">
        <is>
          <t>ÅRJÄNG</t>
        </is>
      </c>
      <c r="G350" t="n">
        <v>2.2</v>
      </c>
      <c r="H350" t="n">
        <v>0</v>
      </c>
      <c r="I350" t="n">
        <v>0</v>
      </c>
      <c r="J350" t="n">
        <v>0</v>
      </c>
      <c r="K350" t="n">
        <v>0</v>
      </c>
      <c r="L350" t="n">
        <v>0</v>
      </c>
      <c r="M350" t="n">
        <v>0</v>
      </c>
      <c r="N350" t="n">
        <v>0</v>
      </c>
      <c r="O350" t="n">
        <v>0</v>
      </c>
      <c r="P350" t="n">
        <v>0</v>
      </c>
      <c r="Q350" t="n">
        <v>0</v>
      </c>
      <c r="R350" s="2" t="inlineStr"/>
    </row>
    <row r="351" ht="15" customHeight="1">
      <c r="A351" t="inlineStr">
        <is>
          <t>A 26781-2025</t>
        </is>
      </c>
      <c r="B351" s="1" t="n">
        <v>45810.58258101852</v>
      </c>
      <c r="C351" s="1" t="n">
        <v>46035</v>
      </c>
      <c r="D351" t="inlineStr">
        <is>
          <t>VÄRMLANDS LÄN</t>
        </is>
      </c>
      <c r="E351" t="inlineStr">
        <is>
          <t>ÅRJÄNG</t>
        </is>
      </c>
      <c r="G351" t="n">
        <v>4.2</v>
      </c>
      <c r="H351" t="n">
        <v>0</v>
      </c>
      <c r="I351" t="n">
        <v>0</v>
      </c>
      <c r="J351" t="n">
        <v>0</v>
      </c>
      <c r="K351" t="n">
        <v>0</v>
      </c>
      <c r="L351" t="n">
        <v>0</v>
      </c>
      <c r="M351" t="n">
        <v>0</v>
      </c>
      <c r="N351" t="n">
        <v>0</v>
      </c>
      <c r="O351" t="n">
        <v>0</v>
      </c>
      <c r="P351" t="n">
        <v>0</v>
      </c>
      <c r="Q351" t="n">
        <v>0</v>
      </c>
      <c r="R351" s="2" t="inlineStr"/>
    </row>
    <row r="352" ht="15" customHeight="1">
      <c r="A352" t="inlineStr">
        <is>
          <t>A 24893-2024</t>
        </is>
      </c>
      <c r="B352" s="1" t="n">
        <v>45461.57194444445</v>
      </c>
      <c r="C352" s="1" t="n">
        <v>46035</v>
      </c>
      <c r="D352" t="inlineStr">
        <is>
          <t>VÄRMLANDS LÄN</t>
        </is>
      </c>
      <c r="E352" t="inlineStr">
        <is>
          <t>ÅRJÄNG</t>
        </is>
      </c>
      <c r="G352" t="n">
        <v>3.1</v>
      </c>
      <c r="H352" t="n">
        <v>0</v>
      </c>
      <c r="I352" t="n">
        <v>0</v>
      </c>
      <c r="J352" t="n">
        <v>0</v>
      </c>
      <c r="K352" t="n">
        <v>0</v>
      </c>
      <c r="L352" t="n">
        <v>0</v>
      </c>
      <c r="M352" t="n">
        <v>0</v>
      </c>
      <c r="N352" t="n">
        <v>0</v>
      </c>
      <c r="O352" t="n">
        <v>0</v>
      </c>
      <c r="P352" t="n">
        <v>0</v>
      </c>
      <c r="Q352" t="n">
        <v>0</v>
      </c>
      <c r="R352" s="2" t="inlineStr"/>
    </row>
    <row r="353" ht="15" customHeight="1">
      <c r="A353" t="inlineStr">
        <is>
          <t>A 34032-2021</t>
        </is>
      </c>
      <c r="B353" s="1" t="n">
        <v>44378</v>
      </c>
      <c r="C353" s="1" t="n">
        <v>46035</v>
      </c>
      <c r="D353" t="inlineStr">
        <is>
          <t>VÄRMLANDS LÄN</t>
        </is>
      </c>
      <c r="E353" t="inlineStr">
        <is>
          <t>ÅRJÄNG</t>
        </is>
      </c>
      <c r="F353" t="inlineStr">
        <is>
          <t>Övriga Aktiebolag</t>
        </is>
      </c>
      <c r="G353" t="n">
        <v>1.4</v>
      </c>
      <c r="H353" t="n">
        <v>0</v>
      </c>
      <c r="I353" t="n">
        <v>0</v>
      </c>
      <c r="J353" t="n">
        <v>0</v>
      </c>
      <c r="K353" t="n">
        <v>0</v>
      </c>
      <c r="L353" t="n">
        <v>0</v>
      </c>
      <c r="M353" t="n">
        <v>0</v>
      </c>
      <c r="N353" t="n">
        <v>0</v>
      </c>
      <c r="O353" t="n">
        <v>0</v>
      </c>
      <c r="P353" t="n">
        <v>0</v>
      </c>
      <c r="Q353" t="n">
        <v>0</v>
      </c>
      <c r="R353" s="2" t="inlineStr"/>
    </row>
    <row r="354" ht="15" customHeight="1">
      <c r="A354" t="inlineStr">
        <is>
          <t>A 50537-2023</t>
        </is>
      </c>
      <c r="B354" s="1" t="n">
        <v>45217</v>
      </c>
      <c r="C354" s="1" t="n">
        <v>46035</v>
      </c>
      <c r="D354" t="inlineStr">
        <is>
          <t>VÄRMLANDS LÄN</t>
        </is>
      </c>
      <c r="E354" t="inlineStr">
        <is>
          <t>ÅRJÄNG</t>
        </is>
      </c>
      <c r="G354" t="n">
        <v>0.5</v>
      </c>
      <c r="H354" t="n">
        <v>0</v>
      </c>
      <c r="I354" t="n">
        <v>0</v>
      </c>
      <c r="J354" t="n">
        <v>0</v>
      </c>
      <c r="K354" t="n">
        <v>0</v>
      </c>
      <c r="L354" t="n">
        <v>0</v>
      </c>
      <c r="M354" t="n">
        <v>0</v>
      </c>
      <c r="N354" t="n">
        <v>0</v>
      </c>
      <c r="O354" t="n">
        <v>0</v>
      </c>
      <c r="P354" t="n">
        <v>0</v>
      </c>
      <c r="Q354" t="n">
        <v>0</v>
      </c>
      <c r="R354" s="2" t="inlineStr"/>
    </row>
    <row r="355" ht="15" customHeight="1">
      <c r="A355" t="inlineStr">
        <is>
          <t>A 31793-2023</t>
        </is>
      </c>
      <c r="B355" s="1" t="n">
        <v>45118.43685185185</v>
      </c>
      <c r="C355" s="1" t="n">
        <v>46035</v>
      </c>
      <c r="D355" t="inlineStr">
        <is>
          <t>VÄRMLANDS LÄN</t>
        </is>
      </c>
      <c r="E355" t="inlineStr">
        <is>
          <t>ÅRJÄNG</t>
        </is>
      </c>
      <c r="G355" t="n">
        <v>10.9</v>
      </c>
      <c r="H355" t="n">
        <v>0</v>
      </c>
      <c r="I355" t="n">
        <v>0</v>
      </c>
      <c r="J355" t="n">
        <v>0</v>
      </c>
      <c r="K355" t="n">
        <v>0</v>
      </c>
      <c r="L355" t="n">
        <v>0</v>
      </c>
      <c r="M355" t="n">
        <v>0</v>
      </c>
      <c r="N355" t="n">
        <v>0</v>
      </c>
      <c r="O355" t="n">
        <v>0</v>
      </c>
      <c r="P355" t="n">
        <v>0</v>
      </c>
      <c r="Q355" t="n">
        <v>0</v>
      </c>
      <c r="R355" s="2" t="inlineStr"/>
    </row>
    <row r="356" ht="15" customHeight="1">
      <c r="A356" t="inlineStr">
        <is>
          <t>A 50347-2024</t>
        </is>
      </c>
      <c r="B356" s="1" t="n">
        <v>45600</v>
      </c>
      <c r="C356" s="1" t="n">
        <v>46035</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43027-2021</t>
        </is>
      </c>
      <c r="B357" s="1" t="n">
        <v>44431.49119212963</v>
      </c>
      <c r="C357" s="1" t="n">
        <v>46035</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24281-2024</t>
        </is>
      </c>
      <c r="B358" s="1" t="n">
        <v>45457</v>
      </c>
      <c r="C358" s="1" t="n">
        <v>46035</v>
      </c>
      <c r="D358" t="inlineStr">
        <is>
          <t>VÄRMLANDS LÄN</t>
        </is>
      </c>
      <c r="E358" t="inlineStr">
        <is>
          <t>ÅRJÄNG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21081-2023</t>
        </is>
      </c>
      <c r="B359" s="1" t="n">
        <v>45057</v>
      </c>
      <c r="C359" s="1" t="n">
        <v>46035</v>
      </c>
      <c r="D359" t="inlineStr">
        <is>
          <t>VÄRMLANDS LÄN</t>
        </is>
      </c>
      <c r="E359" t="inlineStr">
        <is>
          <t>ÅRJÄNG</t>
        </is>
      </c>
      <c r="G359" t="n">
        <v>5.1</v>
      </c>
      <c r="H359" t="n">
        <v>0</v>
      </c>
      <c r="I359" t="n">
        <v>0</v>
      </c>
      <c r="J359" t="n">
        <v>0</v>
      </c>
      <c r="K359" t="n">
        <v>0</v>
      </c>
      <c r="L359" t="n">
        <v>0</v>
      </c>
      <c r="M359" t="n">
        <v>0</v>
      </c>
      <c r="N359" t="n">
        <v>0</v>
      </c>
      <c r="O359" t="n">
        <v>0</v>
      </c>
      <c r="P359" t="n">
        <v>0</v>
      </c>
      <c r="Q359" t="n">
        <v>0</v>
      </c>
      <c r="R359" s="2" t="inlineStr"/>
    </row>
    <row r="360" ht="15" customHeight="1">
      <c r="A360" t="inlineStr">
        <is>
          <t>A 36862-2025</t>
        </is>
      </c>
      <c r="B360" s="1" t="n">
        <v>45874</v>
      </c>
      <c r="C360" s="1" t="n">
        <v>46035</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9425-2025</t>
        </is>
      </c>
      <c r="B361" s="1" t="n">
        <v>45715.40350694444</v>
      </c>
      <c r="C361" s="1" t="n">
        <v>46035</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39369-2025</t>
        </is>
      </c>
      <c r="B362" s="1" t="n">
        <v>45889.57848379629</v>
      </c>
      <c r="C362" s="1" t="n">
        <v>46035</v>
      </c>
      <c r="D362" t="inlineStr">
        <is>
          <t>VÄRMLANDS LÄN</t>
        </is>
      </c>
      <c r="E362" t="inlineStr">
        <is>
          <t>ÅRJÄNG</t>
        </is>
      </c>
      <c r="G362" t="n">
        <v>2.6</v>
      </c>
      <c r="H362" t="n">
        <v>0</v>
      </c>
      <c r="I362" t="n">
        <v>0</v>
      </c>
      <c r="J362" t="n">
        <v>0</v>
      </c>
      <c r="K362" t="n">
        <v>0</v>
      </c>
      <c r="L362" t="n">
        <v>0</v>
      </c>
      <c r="M362" t="n">
        <v>0</v>
      </c>
      <c r="N362" t="n">
        <v>0</v>
      </c>
      <c r="O362" t="n">
        <v>0</v>
      </c>
      <c r="P362" t="n">
        <v>0</v>
      </c>
      <c r="Q362" t="n">
        <v>0</v>
      </c>
      <c r="R362" s="2" t="inlineStr"/>
    </row>
    <row r="363" ht="15" customHeight="1">
      <c r="A363" t="inlineStr">
        <is>
          <t>A 39578-2025</t>
        </is>
      </c>
      <c r="B363" s="1" t="n">
        <v>45890.49292824074</v>
      </c>
      <c r="C363" s="1" t="n">
        <v>46035</v>
      </c>
      <c r="D363" t="inlineStr">
        <is>
          <t>VÄRMLANDS LÄN</t>
        </is>
      </c>
      <c r="E363" t="inlineStr">
        <is>
          <t>ÅRJÄNG</t>
        </is>
      </c>
      <c r="G363" t="n">
        <v>5.5</v>
      </c>
      <c r="H363" t="n">
        <v>0</v>
      </c>
      <c r="I363" t="n">
        <v>0</v>
      </c>
      <c r="J363" t="n">
        <v>0</v>
      </c>
      <c r="K363" t="n">
        <v>0</v>
      </c>
      <c r="L363" t="n">
        <v>0</v>
      </c>
      <c r="M363" t="n">
        <v>0</v>
      </c>
      <c r="N363" t="n">
        <v>0</v>
      </c>
      <c r="O363" t="n">
        <v>0</v>
      </c>
      <c r="P363" t="n">
        <v>0</v>
      </c>
      <c r="Q363" t="n">
        <v>0</v>
      </c>
      <c r="R363" s="2" t="inlineStr"/>
    </row>
    <row r="364" ht="15" customHeight="1">
      <c r="A364" t="inlineStr">
        <is>
          <t>A 22276-2025</t>
        </is>
      </c>
      <c r="B364" s="1" t="n">
        <v>45786.32737268518</v>
      </c>
      <c r="C364" s="1" t="n">
        <v>46035</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12352-2021</t>
        </is>
      </c>
      <c r="B365" s="1" t="n">
        <v>44267.44386574074</v>
      </c>
      <c r="C365" s="1" t="n">
        <v>46035</v>
      </c>
      <c r="D365" t="inlineStr">
        <is>
          <t>VÄRMLANDS LÄN</t>
        </is>
      </c>
      <c r="E365" t="inlineStr">
        <is>
          <t>ÅRJÄNG</t>
        </is>
      </c>
      <c r="G365" t="n">
        <v>7.1</v>
      </c>
      <c r="H365" t="n">
        <v>0</v>
      </c>
      <c r="I365" t="n">
        <v>0</v>
      </c>
      <c r="J365" t="n">
        <v>0</v>
      </c>
      <c r="K365" t="n">
        <v>0</v>
      </c>
      <c r="L365" t="n">
        <v>0</v>
      </c>
      <c r="M365" t="n">
        <v>0</v>
      </c>
      <c r="N365" t="n">
        <v>0</v>
      </c>
      <c r="O365" t="n">
        <v>0</v>
      </c>
      <c r="P365" t="n">
        <v>0</v>
      </c>
      <c r="Q365" t="n">
        <v>0</v>
      </c>
      <c r="R365" s="2" t="inlineStr"/>
    </row>
    <row r="366" ht="15" customHeight="1">
      <c r="A366" t="inlineStr">
        <is>
          <t>A 23216-2023</t>
        </is>
      </c>
      <c r="B366" s="1" t="n">
        <v>45075</v>
      </c>
      <c r="C366" s="1" t="n">
        <v>46035</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22352-2025</t>
        </is>
      </c>
      <c r="B367" s="1" t="n">
        <v>45786.45491898148</v>
      </c>
      <c r="C367" s="1" t="n">
        <v>46035</v>
      </c>
      <c r="D367" t="inlineStr">
        <is>
          <t>VÄRMLANDS LÄN</t>
        </is>
      </c>
      <c r="E367" t="inlineStr">
        <is>
          <t>ÅRJÄNG</t>
        </is>
      </c>
      <c r="G367" t="n">
        <v>5.4</v>
      </c>
      <c r="H367" t="n">
        <v>0</v>
      </c>
      <c r="I367" t="n">
        <v>0</v>
      </c>
      <c r="J367" t="n">
        <v>0</v>
      </c>
      <c r="K367" t="n">
        <v>0</v>
      </c>
      <c r="L367" t="n">
        <v>0</v>
      </c>
      <c r="M367" t="n">
        <v>0</v>
      </c>
      <c r="N367" t="n">
        <v>0</v>
      </c>
      <c r="O367" t="n">
        <v>0</v>
      </c>
      <c r="P367" t="n">
        <v>0</v>
      </c>
      <c r="Q367" t="n">
        <v>0</v>
      </c>
      <c r="R367" s="2" t="inlineStr"/>
    </row>
    <row r="368" ht="15" customHeight="1">
      <c r="A368" t="inlineStr">
        <is>
          <t>A 58436-2023</t>
        </is>
      </c>
      <c r="B368" s="1" t="n">
        <v>45250</v>
      </c>
      <c r="C368" s="1" t="n">
        <v>46035</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63203-2021</t>
        </is>
      </c>
      <c r="B369" s="1" t="n">
        <v>44507.78568287037</v>
      </c>
      <c r="C369" s="1" t="n">
        <v>46035</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74086-2021</t>
        </is>
      </c>
      <c r="B370" s="1" t="n">
        <v>44557.58112268519</v>
      </c>
      <c r="C370" s="1" t="n">
        <v>46035</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40232-2025</t>
        </is>
      </c>
      <c r="B371" s="1" t="n">
        <v>45894.7147800926</v>
      </c>
      <c r="C371" s="1" t="n">
        <v>46035</v>
      </c>
      <c r="D371" t="inlineStr">
        <is>
          <t>VÄRMLANDS LÄN</t>
        </is>
      </c>
      <c r="E371" t="inlineStr">
        <is>
          <t>ÅRJÄNG</t>
        </is>
      </c>
      <c r="F371" t="inlineStr">
        <is>
          <t>Bergvik skog väst AB</t>
        </is>
      </c>
      <c r="G371" t="n">
        <v>1</v>
      </c>
      <c r="H371" t="n">
        <v>0</v>
      </c>
      <c r="I371" t="n">
        <v>0</v>
      </c>
      <c r="J371" t="n">
        <v>0</v>
      </c>
      <c r="K371" t="n">
        <v>0</v>
      </c>
      <c r="L371" t="n">
        <v>0</v>
      </c>
      <c r="M371" t="n">
        <v>0</v>
      </c>
      <c r="N371" t="n">
        <v>0</v>
      </c>
      <c r="O371" t="n">
        <v>0</v>
      </c>
      <c r="P371" t="n">
        <v>0</v>
      </c>
      <c r="Q371" t="n">
        <v>0</v>
      </c>
      <c r="R371" s="2" t="inlineStr"/>
    </row>
    <row r="372" ht="15" customHeight="1">
      <c r="A372" t="inlineStr">
        <is>
          <t>A 8094-2025</t>
        </is>
      </c>
      <c r="B372" s="1" t="n">
        <v>45707.68126157407</v>
      </c>
      <c r="C372" s="1" t="n">
        <v>46035</v>
      </c>
      <c r="D372" t="inlineStr">
        <is>
          <t>VÄRMLANDS LÄN</t>
        </is>
      </c>
      <c r="E372" t="inlineStr">
        <is>
          <t>ÅRJÄNG</t>
        </is>
      </c>
      <c r="G372" t="n">
        <v>12.6</v>
      </c>
      <c r="H372" t="n">
        <v>0</v>
      </c>
      <c r="I372" t="n">
        <v>0</v>
      </c>
      <c r="J372" t="n">
        <v>0</v>
      </c>
      <c r="K372" t="n">
        <v>0</v>
      </c>
      <c r="L372" t="n">
        <v>0</v>
      </c>
      <c r="M372" t="n">
        <v>0</v>
      </c>
      <c r="N372" t="n">
        <v>0</v>
      </c>
      <c r="O372" t="n">
        <v>0</v>
      </c>
      <c r="P372" t="n">
        <v>0</v>
      </c>
      <c r="Q372" t="n">
        <v>0</v>
      </c>
      <c r="R372" s="2" t="inlineStr"/>
    </row>
    <row r="373" ht="15" customHeight="1">
      <c r="A373" t="inlineStr">
        <is>
          <t>A 62261-2023</t>
        </is>
      </c>
      <c r="B373" s="1" t="n">
        <v>45266</v>
      </c>
      <c r="C373" s="1" t="n">
        <v>46035</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49641-2021</t>
        </is>
      </c>
      <c r="B374" s="1" t="n">
        <v>44455.44327546296</v>
      </c>
      <c r="C374" s="1" t="n">
        <v>46035</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39781-2025</t>
        </is>
      </c>
      <c r="B375" s="1" t="n">
        <v>45891</v>
      </c>
      <c r="C375" s="1" t="n">
        <v>46035</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40219-2025</t>
        </is>
      </c>
      <c r="B376" s="1" t="n">
        <v>45894.69025462963</v>
      </c>
      <c r="C376" s="1" t="n">
        <v>46035</v>
      </c>
      <c r="D376" t="inlineStr">
        <is>
          <t>VÄRMLANDS LÄN</t>
        </is>
      </c>
      <c r="E376" t="inlineStr">
        <is>
          <t>ÅRJÄNG</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32338-2024</t>
        </is>
      </c>
      <c r="B377" s="1" t="n">
        <v>45512</v>
      </c>
      <c r="C377" s="1" t="n">
        <v>46035</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5863-2023</t>
        </is>
      </c>
      <c r="B378" s="1" t="n">
        <v>44963</v>
      </c>
      <c r="C378" s="1" t="n">
        <v>46035</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22281-2025</t>
        </is>
      </c>
      <c r="B379" s="1" t="n">
        <v>45786.33900462963</v>
      </c>
      <c r="C379" s="1" t="n">
        <v>46035</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39905-2025</t>
        </is>
      </c>
      <c r="B380" s="1" t="n">
        <v>45891.63949074074</v>
      </c>
      <c r="C380" s="1" t="n">
        <v>46035</v>
      </c>
      <c r="D380" t="inlineStr">
        <is>
          <t>VÄRMLANDS LÄN</t>
        </is>
      </c>
      <c r="E380" t="inlineStr">
        <is>
          <t>ÅRJÄNG</t>
        </is>
      </c>
      <c r="G380" t="n">
        <v>0.9</v>
      </c>
      <c r="H380" t="n">
        <v>0</v>
      </c>
      <c r="I380" t="n">
        <v>0</v>
      </c>
      <c r="J380" t="n">
        <v>0</v>
      </c>
      <c r="K380" t="n">
        <v>0</v>
      </c>
      <c r="L380" t="n">
        <v>0</v>
      </c>
      <c r="M380" t="n">
        <v>0</v>
      </c>
      <c r="N380" t="n">
        <v>0</v>
      </c>
      <c r="O380" t="n">
        <v>0</v>
      </c>
      <c r="P380" t="n">
        <v>0</v>
      </c>
      <c r="Q380" t="n">
        <v>0</v>
      </c>
      <c r="R380" s="2" t="inlineStr"/>
    </row>
    <row r="381" ht="15" customHeight="1">
      <c r="A381" t="inlineStr">
        <is>
          <t>A 39776-2025</t>
        </is>
      </c>
      <c r="B381" s="1" t="n">
        <v>45891</v>
      </c>
      <c r="C381" s="1" t="n">
        <v>46035</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39779-2025</t>
        </is>
      </c>
      <c r="B382" s="1" t="n">
        <v>45891</v>
      </c>
      <c r="C382" s="1" t="n">
        <v>46035</v>
      </c>
      <c r="D382" t="inlineStr">
        <is>
          <t>VÄRMLANDS LÄN</t>
        </is>
      </c>
      <c r="E382" t="inlineStr">
        <is>
          <t>ÅRJÄNG</t>
        </is>
      </c>
      <c r="G382" t="n">
        <v>1.1</v>
      </c>
      <c r="H382" t="n">
        <v>0</v>
      </c>
      <c r="I382" t="n">
        <v>0</v>
      </c>
      <c r="J382" t="n">
        <v>0</v>
      </c>
      <c r="K382" t="n">
        <v>0</v>
      </c>
      <c r="L382" t="n">
        <v>0</v>
      </c>
      <c r="M382" t="n">
        <v>0</v>
      </c>
      <c r="N382" t="n">
        <v>0</v>
      </c>
      <c r="O382" t="n">
        <v>0</v>
      </c>
      <c r="P382" t="n">
        <v>0</v>
      </c>
      <c r="Q382" t="n">
        <v>0</v>
      </c>
      <c r="R382" s="2" t="inlineStr"/>
    </row>
    <row r="383" ht="15" customHeight="1">
      <c r="A383" t="inlineStr">
        <is>
          <t>A 39725-2025</t>
        </is>
      </c>
      <c r="B383" s="1" t="n">
        <v>45891</v>
      </c>
      <c r="C383" s="1" t="n">
        <v>46035</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13155-2024</t>
        </is>
      </c>
      <c r="B384" s="1" t="n">
        <v>45386</v>
      </c>
      <c r="C384" s="1" t="n">
        <v>46035</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22667-2025</t>
        </is>
      </c>
      <c r="B385" s="1" t="n">
        <v>45789</v>
      </c>
      <c r="C385" s="1" t="n">
        <v>46035</v>
      </c>
      <c r="D385" t="inlineStr">
        <is>
          <t>VÄRMLANDS LÄN</t>
        </is>
      </c>
      <c r="E385" t="inlineStr">
        <is>
          <t>ÅRJÄNG</t>
        </is>
      </c>
      <c r="G385" t="n">
        <v>4.4</v>
      </c>
      <c r="H385" t="n">
        <v>0</v>
      </c>
      <c r="I385" t="n">
        <v>0</v>
      </c>
      <c r="J385" t="n">
        <v>0</v>
      </c>
      <c r="K385" t="n">
        <v>0</v>
      </c>
      <c r="L385" t="n">
        <v>0</v>
      </c>
      <c r="M385" t="n">
        <v>0</v>
      </c>
      <c r="N385" t="n">
        <v>0</v>
      </c>
      <c r="O385" t="n">
        <v>0</v>
      </c>
      <c r="P385" t="n">
        <v>0</v>
      </c>
      <c r="Q385" t="n">
        <v>0</v>
      </c>
      <c r="R385" s="2" t="inlineStr"/>
    </row>
    <row r="386" ht="15" customHeight="1">
      <c r="A386" t="inlineStr">
        <is>
          <t>A 40497-2025</t>
        </is>
      </c>
      <c r="B386" s="1" t="n">
        <v>45896.32087962963</v>
      </c>
      <c r="C386" s="1" t="n">
        <v>46035</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40449-2025</t>
        </is>
      </c>
      <c r="B387" s="1" t="n">
        <v>45895</v>
      </c>
      <c r="C387" s="1" t="n">
        <v>46035</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26284-2021</t>
        </is>
      </c>
      <c r="B388" s="1" t="n">
        <v>44347</v>
      </c>
      <c r="C388" s="1" t="n">
        <v>46035</v>
      </c>
      <c r="D388" t="inlineStr">
        <is>
          <t>VÄRMLANDS LÄN</t>
        </is>
      </c>
      <c r="E388" t="inlineStr">
        <is>
          <t>ÅRJÄNG</t>
        </is>
      </c>
      <c r="G388" t="n">
        <v>0.8</v>
      </c>
      <c r="H388" t="n">
        <v>0</v>
      </c>
      <c r="I388" t="n">
        <v>0</v>
      </c>
      <c r="J388" t="n">
        <v>0</v>
      </c>
      <c r="K388" t="n">
        <v>0</v>
      </c>
      <c r="L388" t="n">
        <v>0</v>
      </c>
      <c r="M388" t="n">
        <v>0</v>
      </c>
      <c r="N388" t="n">
        <v>0</v>
      </c>
      <c r="O388" t="n">
        <v>0</v>
      </c>
      <c r="P388" t="n">
        <v>0</v>
      </c>
      <c r="Q388" t="n">
        <v>0</v>
      </c>
      <c r="R388" s="2" t="inlineStr"/>
    </row>
    <row r="389" ht="15" customHeight="1">
      <c r="A389" t="inlineStr">
        <is>
          <t>A 40602-2025</t>
        </is>
      </c>
      <c r="B389" s="1" t="n">
        <v>45896</v>
      </c>
      <c r="C389" s="1" t="n">
        <v>46035</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40601-2025</t>
        </is>
      </c>
      <c r="B390" s="1" t="n">
        <v>45896</v>
      </c>
      <c r="C390" s="1" t="n">
        <v>46035</v>
      </c>
      <c r="D390" t="inlineStr">
        <is>
          <t>VÄRMLANDS LÄN</t>
        </is>
      </c>
      <c r="E390" t="inlineStr">
        <is>
          <t>ÅRJÄNG</t>
        </is>
      </c>
      <c r="G390" t="n">
        <v>2.1</v>
      </c>
      <c r="H390" t="n">
        <v>0</v>
      </c>
      <c r="I390" t="n">
        <v>0</v>
      </c>
      <c r="J390" t="n">
        <v>0</v>
      </c>
      <c r="K390" t="n">
        <v>0</v>
      </c>
      <c r="L390" t="n">
        <v>0</v>
      </c>
      <c r="M390" t="n">
        <v>0</v>
      </c>
      <c r="N390" t="n">
        <v>0</v>
      </c>
      <c r="O390" t="n">
        <v>0</v>
      </c>
      <c r="P390" t="n">
        <v>0</v>
      </c>
      <c r="Q390" t="n">
        <v>0</v>
      </c>
      <c r="R390" s="2" t="inlineStr"/>
    </row>
    <row r="391" ht="15" customHeight="1">
      <c r="A391" t="inlineStr">
        <is>
          <t>A 49701-2022</t>
        </is>
      </c>
      <c r="B391" s="1" t="n">
        <v>44862.53201388889</v>
      </c>
      <c r="C391" s="1" t="n">
        <v>46035</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23039-2025</t>
        </is>
      </c>
      <c r="B392" s="1" t="n">
        <v>45790</v>
      </c>
      <c r="C392" s="1" t="n">
        <v>46035</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16562-2024</t>
        </is>
      </c>
      <c r="B393" s="1" t="n">
        <v>45408.45829861111</v>
      </c>
      <c r="C393" s="1" t="n">
        <v>46035</v>
      </c>
      <c r="D393" t="inlineStr">
        <is>
          <t>VÄRMLANDS LÄN</t>
        </is>
      </c>
      <c r="E393" t="inlineStr">
        <is>
          <t>ÅRJÄNG</t>
        </is>
      </c>
      <c r="F393" t="inlineStr">
        <is>
          <t>Bergvik skog väst AB</t>
        </is>
      </c>
      <c r="G393" t="n">
        <v>0.4</v>
      </c>
      <c r="H393" t="n">
        <v>0</v>
      </c>
      <c r="I393" t="n">
        <v>0</v>
      </c>
      <c r="J393" t="n">
        <v>0</v>
      </c>
      <c r="K393" t="n">
        <v>0</v>
      </c>
      <c r="L393" t="n">
        <v>0</v>
      </c>
      <c r="M393" t="n">
        <v>0</v>
      </c>
      <c r="N393" t="n">
        <v>0</v>
      </c>
      <c r="O393" t="n">
        <v>0</v>
      </c>
      <c r="P393" t="n">
        <v>0</v>
      </c>
      <c r="Q393" t="n">
        <v>0</v>
      </c>
      <c r="R393" s="2" t="inlineStr"/>
    </row>
    <row r="394" ht="15" customHeight="1">
      <c r="A394" t="inlineStr">
        <is>
          <t>A 22556-2025</t>
        </is>
      </c>
      <c r="B394" s="1" t="n">
        <v>45788.93663194445</v>
      </c>
      <c r="C394" s="1" t="n">
        <v>46035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60172-2023</t>
        </is>
      </c>
      <c r="B395" s="1" t="n">
        <v>45257</v>
      </c>
      <c r="C395" s="1" t="n">
        <v>46035</v>
      </c>
      <c r="D395" t="inlineStr">
        <is>
          <t>VÄRMLANDS LÄN</t>
        </is>
      </c>
      <c r="E395" t="inlineStr">
        <is>
          <t>ÅRJÄNG</t>
        </is>
      </c>
      <c r="G395" t="n">
        <v>2.1</v>
      </c>
      <c r="H395" t="n">
        <v>0</v>
      </c>
      <c r="I395" t="n">
        <v>0</v>
      </c>
      <c r="J395" t="n">
        <v>0</v>
      </c>
      <c r="K395" t="n">
        <v>0</v>
      </c>
      <c r="L395" t="n">
        <v>0</v>
      </c>
      <c r="M395" t="n">
        <v>0</v>
      </c>
      <c r="N395" t="n">
        <v>0</v>
      </c>
      <c r="O395" t="n">
        <v>0</v>
      </c>
      <c r="P395" t="n">
        <v>0</v>
      </c>
      <c r="Q395" t="n">
        <v>0</v>
      </c>
      <c r="R395" s="2" t="inlineStr"/>
    </row>
    <row r="396" ht="15" customHeight="1">
      <c r="A396" t="inlineStr">
        <is>
          <t>A 37026-2024</t>
        </is>
      </c>
      <c r="B396" s="1" t="n">
        <v>45539</v>
      </c>
      <c r="C396" s="1" t="n">
        <v>46035</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11899-2025</t>
        </is>
      </c>
      <c r="B397" s="1" t="n">
        <v>45728</v>
      </c>
      <c r="C397" s="1" t="n">
        <v>46035</v>
      </c>
      <c r="D397" t="inlineStr">
        <is>
          <t>VÄRMLANDS LÄN</t>
        </is>
      </c>
      <c r="E397" t="inlineStr">
        <is>
          <t>ÅRJÄNG</t>
        </is>
      </c>
      <c r="G397" t="n">
        <v>3.9</v>
      </c>
      <c r="H397" t="n">
        <v>0</v>
      </c>
      <c r="I397" t="n">
        <v>0</v>
      </c>
      <c r="J397" t="n">
        <v>0</v>
      </c>
      <c r="K397" t="n">
        <v>0</v>
      </c>
      <c r="L397" t="n">
        <v>0</v>
      </c>
      <c r="M397" t="n">
        <v>0</v>
      </c>
      <c r="N397" t="n">
        <v>0</v>
      </c>
      <c r="O397" t="n">
        <v>0</v>
      </c>
      <c r="P397" t="n">
        <v>0</v>
      </c>
      <c r="Q397" t="n">
        <v>0</v>
      </c>
      <c r="R397" s="2" t="inlineStr"/>
    </row>
    <row r="398" ht="15" customHeight="1">
      <c r="A398" t="inlineStr">
        <is>
          <t>A 22635-2025</t>
        </is>
      </c>
      <c r="B398" s="1" t="n">
        <v>45789</v>
      </c>
      <c r="C398" s="1" t="n">
        <v>46035</v>
      </c>
      <c r="D398" t="inlineStr">
        <is>
          <t>VÄRMLANDS LÄN</t>
        </is>
      </c>
      <c r="E398" t="inlineStr">
        <is>
          <t>ÅRJÄNG</t>
        </is>
      </c>
      <c r="G398" t="n">
        <v>5.2</v>
      </c>
      <c r="H398" t="n">
        <v>0</v>
      </c>
      <c r="I398" t="n">
        <v>0</v>
      </c>
      <c r="J398" t="n">
        <v>0</v>
      </c>
      <c r="K398" t="n">
        <v>0</v>
      </c>
      <c r="L398" t="n">
        <v>0</v>
      </c>
      <c r="M398" t="n">
        <v>0</v>
      </c>
      <c r="N398" t="n">
        <v>0</v>
      </c>
      <c r="O398" t="n">
        <v>0</v>
      </c>
      <c r="P398" t="n">
        <v>0</v>
      </c>
      <c r="Q398" t="n">
        <v>0</v>
      </c>
      <c r="R398" s="2" t="inlineStr"/>
    </row>
    <row r="399" ht="15" customHeight="1">
      <c r="A399" t="inlineStr">
        <is>
          <t>A 41229-2025</t>
        </is>
      </c>
      <c r="B399" s="1" t="n">
        <v>45898.59108796297</v>
      </c>
      <c r="C399" s="1" t="n">
        <v>46035</v>
      </c>
      <c r="D399" t="inlineStr">
        <is>
          <t>VÄRMLANDS LÄN</t>
        </is>
      </c>
      <c r="E399" t="inlineStr">
        <is>
          <t>ÅRJÄNG</t>
        </is>
      </c>
      <c r="G399" t="n">
        <v>2.6</v>
      </c>
      <c r="H399" t="n">
        <v>0</v>
      </c>
      <c r="I399" t="n">
        <v>0</v>
      </c>
      <c r="J399" t="n">
        <v>0</v>
      </c>
      <c r="K399" t="n">
        <v>0</v>
      </c>
      <c r="L399" t="n">
        <v>0</v>
      </c>
      <c r="M399" t="n">
        <v>0</v>
      </c>
      <c r="N399" t="n">
        <v>0</v>
      </c>
      <c r="O399" t="n">
        <v>0</v>
      </c>
      <c r="P399" t="n">
        <v>0</v>
      </c>
      <c r="Q399" t="n">
        <v>0</v>
      </c>
      <c r="R399" s="2" t="inlineStr"/>
    </row>
    <row r="400" ht="15" customHeight="1">
      <c r="A400" t="inlineStr">
        <is>
          <t>A 40699-2025</t>
        </is>
      </c>
      <c r="B400" s="1" t="n">
        <v>45897.31958333333</v>
      </c>
      <c r="C400" s="1" t="n">
        <v>46035</v>
      </c>
      <c r="D400" t="inlineStr">
        <is>
          <t>VÄRMLANDS LÄN</t>
        </is>
      </c>
      <c r="E400" t="inlineStr">
        <is>
          <t>ÅRJÄNG</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26833-2024</t>
        </is>
      </c>
      <c r="B401" s="1" t="n">
        <v>45470</v>
      </c>
      <c r="C401" s="1" t="n">
        <v>46035</v>
      </c>
      <c r="D401" t="inlineStr">
        <is>
          <t>VÄRMLANDS LÄN</t>
        </is>
      </c>
      <c r="E401" t="inlineStr">
        <is>
          <t>ÅRJÄNG</t>
        </is>
      </c>
      <c r="F401" t="inlineStr">
        <is>
          <t>Kyrkan</t>
        </is>
      </c>
      <c r="G401" t="n">
        <v>7.9</v>
      </c>
      <c r="H401" t="n">
        <v>0</v>
      </c>
      <c r="I401" t="n">
        <v>0</v>
      </c>
      <c r="J401" t="n">
        <v>0</v>
      </c>
      <c r="K401" t="n">
        <v>0</v>
      </c>
      <c r="L401" t="n">
        <v>0</v>
      </c>
      <c r="M401" t="n">
        <v>0</v>
      </c>
      <c r="N401" t="n">
        <v>0</v>
      </c>
      <c r="O401" t="n">
        <v>0</v>
      </c>
      <c r="P401" t="n">
        <v>0</v>
      </c>
      <c r="Q401" t="n">
        <v>0</v>
      </c>
      <c r="R401" s="2" t="inlineStr"/>
    </row>
    <row r="402" ht="15" customHeight="1">
      <c r="A402" t="inlineStr">
        <is>
          <t>A 23690-2024</t>
        </is>
      </c>
      <c r="B402" s="1" t="n">
        <v>45454.65612268518</v>
      </c>
      <c r="C402" s="1" t="n">
        <v>46035</v>
      </c>
      <c r="D402" t="inlineStr">
        <is>
          <t>VÄRMLANDS LÄN</t>
        </is>
      </c>
      <c r="E402" t="inlineStr">
        <is>
          <t>ÅRJÄNG</t>
        </is>
      </c>
      <c r="G402" t="n">
        <v>2.4</v>
      </c>
      <c r="H402" t="n">
        <v>0</v>
      </c>
      <c r="I402" t="n">
        <v>0</v>
      </c>
      <c r="J402" t="n">
        <v>0</v>
      </c>
      <c r="K402" t="n">
        <v>0</v>
      </c>
      <c r="L402" t="n">
        <v>0</v>
      </c>
      <c r="M402" t="n">
        <v>0</v>
      </c>
      <c r="N402" t="n">
        <v>0</v>
      </c>
      <c r="O402" t="n">
        <v>0</v>
      </c>
      <c r="P402" t="n">
        <v>0</v>
      </c>
      <c r="Q402" t="n">
        <v>0</v>
      </c>
      <c r="R402" s="2" t="inlineStr"/>
    </row>
    <row r="403" ht="15" customHeight="1">
      <c r="A403" t="inlineStr">
        <is>
          <t>A 1929-2025</t>
        </is>
      </c>
      <c r="B403" s="1" t="n">
        <v>45671.73023148148</v>
      </c>
      <c r="C403" s="1" t="n">
        <v>46035</v>
      </c>
      <c r="D403" t="inlineStr">
        <is>
          <t>VÄRMLANDS LÄN</t>
        </is>
      </c>
      <c r="E403" t="inlineStr">
        <is>
          <t>ÅRJÄNG</t>
        </is>
      </c>
      <c r="G403" t="n">
        <v>2.9</v>
      </c>
      <c r="H403" t="n">
        <v>0</v>
      </c>
      <c r="I403" t="n">
        <v>0</v>
      </c>
      <c r="J403" t="n">
        <v>0</v>
      </c>
      <c r="K403" t="n">
        <v>0</v>
      </c>
      <c r="L403" t="n">
        <v>0</v>
      </c>
      <c r="M403" t="n">
        <v>0</v>
      </c>
      <c r="N403" t="n">
        <v>0</v>
      </c>
      <c r="O403" t="n">
        <v>0</v>
      </c>
      <c r="P403" t="n">
        <v>0</v>
      </c>
      <c r="Q403" t="n">
        <v>0</v>
      </c>
      <c r="R403" s="2" t="inlineStr"/>
    </row>
    <row r="404" ht="15" customHeight="1">
      <c r="A404" t="inlineStr">
        <is>
          <t>A 22727-2025</t>
        </is>
      </c>
      <c r="B404" s="1" t="n">
        <v>45789.5744212963</v>
      </c>
      <c r="C404" s="1" t="n">
        <v>46035</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57992-2023</t>
        </is>
      </c>
      <c r="B405" s="1" t="n">
        <v>45244</v>
      </c>
      <c r="C405" s="1" t="n">
        <v>46035</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43659-2024</t>
        </is>
      </c>
      <c r="B406" s="1" t="n">
        <v>45569</v>
      </c>
      <c r="C406" s="1" t="n">
        <v>46035</v>
      </c>
      <c r="D406" t="inlineStr">
        <is>
          <t>VÄRMLANDS LÄN</t>
        </is>
      </c>
      <c r="E406" t="inlineStr">
        <is>
          <t>ÅRJÄNG</t>
        </is>
      </c>
      <c r="G406" t="n">
        <v>6</v>
      </c>
      <c r="H406" t="n">
        <v>0</v>
      </c>
      <c r="I406" t="n">
        <v>0</v>
      </c>
      <c r="J406" t="n">
        <v>0</v>
      </c>
      <c r="K406" t="n">
        <v>0</v>
      </c>
      <c r="L406" t="n">
        <v>0</v>
      </c>
      <c r="M406" t="n">
        <v>0</v>
      </c>
      <c r="N406" t="n">
        <v>0</v>
      </c>
      <c r="O406" t="n">
        <v>0</v>
      </c>
      <c r="P406" t="n">
        <v>0</v>
      </c>
      <c r="Q406" t="n">
        <v>0</v>
      </c>
      <c r="R406" s="2" t="inlineStr"/>
    </row>
    <row r="407" ht="15" customHeight="1">
      <c r="A407" t="inlineStr">
        <is>
          <t>A 17426-2025</t>
        </is>
      </c>
      <c r="B407" s="1" t="n">
        <v>45757.40153935185</v>
      </c>
      <c r="C407" s="1" t="n">
        <v>46035</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51269-2022</t>
        </is>
      </c>
      <c r="B408" s="1" t="n">
        <v>44868</v>
      </c>
      <c r="C408" s="1" t="n">
        <v>46035</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62609-2023</t>
        </is>
      </c>
      <c r="B409" s="1" t="n">
        <v>45267</v>
      </c>
      <c r="C409" s="1" t="n">
        <v>46035</v>
      </c>
      <c r="D409" t="inlineStr">
        <is>
          <t>VÄRMLANDS LÄN</t>
        </is>
      </c>
      <c r="E409" t="inlineStr">
        <is>
          <t>ÅRJÄNG</t>
        </is>
      </c>
      <c r="G409" t="n">
        <v>14.4</v>
      </c>
      <c r="H409" t="n">
        <v>0</v>
      </c>
      <c r="I409" t="n">
        <v>0</v>
      </c>
      <c r="J409" t="n">
        <v>0</v>
      </c>
      <c r="K409" t="n">
        <v>0</v>
      </c>
      <c r="L409" t="n">
        <v>0</v>
      </c>
      <c r="M409" t="n">
        <v>0</v>
      </c>
      <c r="N409" t="n">
        <v>0</v>
      </c>
      <c r="O409" t="n">
        <v>0</v>
      </c>
      <c r="P409" t="n">
        <v>0</v>
      </c>
      <c r="Q409" t="n">
        <v>0</v>
      </c>
      <c r="R409" s="2" t="inlineStr"/>
    </row>
    <row r="410" ht="15" customHeight="1">
      <c r="A410" t="inlineStr">
        <is>
          <t>A 41467-2025</t>
        </is>
      </c>
      <c r="B410" s="1" t="n">
        <v>45901.45755787037</v>
      </c>
      <c r="C410" s="1" t="n">
        <v>46035</v>
      </c>
      <c r="D410" t="inlineStr">
        <is>
          <t>VÄRMLANDS LÄN</t>
        </is>
      </c>
      <c r="E410" t="inlineStr">
        <is>
          <t>ÅRJÄNG</t>
        </is>
      </c>
      <c r="G410" t="n">
        <v>2</v>
      </c>
      <c r="H410" t="n">
        <v>0</v>
      </c>
      <c r="I410" t="n">
        <v>0</v>
      </c>
      <c r="J410" t="n">
        <v>0</v>
      </c>
      <c r="K410" t="n">
        <v>0</v>
      </c>
      <c r="L410" t="n">
        <v>0</v>
      </c>
      <c r="M410" t="n">
        <v>0</v>
      </c>
      <c r="N410" t="n">
        <v>0</v>
      </c>
      <c r="O410" t="n">
        <v>0</v>
      </c>
      <c r="P410" t="n">
        <v>0</v>
      </c>
      <c r="Q410" t="n">
        <v>0</v>
      </c>
      <c r="R410" s="2" t="inlineStr"/>
    </row>
    <row r="411" ht="15" customHeight="1">
      <c r="A411" t="inlineStr">
        <is>
          <t>A 34526-2023</t>
        </is>
      </c>
      <c r="B411" s="1" t="n">
        <v>45140.41518518519</v>
      </c>
      <c r="C411" s="1" t="n">
        <v>46035</v>
      </c>
      <c r="D411" t="inlineStr">
        <is>
          <t>VÄRMLANDS LÄN</t>
        </is>
      </c>
      <c r="E411" t="inlineStr">
        <is>
          <t>ÅRJÄNG</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41496-2025</t>
        </is>
      </c>
      <c r="B412" s="1" t="n">
        <v>45901</v>
      </c>
      <c r="C412" s="1" t="n">
        <v>46035</v>
      </c>
      <c r="D412" t="inlineStr">
        <is>
          <t>VÄRMLANDS LÄN</t>
        </is>
      </c>
      <c r="E412" t="inlineStr">
        <is>
          <t>ÅRJÄNG</t>
        </is>
      </c>
      <c r="G412" t="n">
        <v>5.8</v>
      </c>
      <c r="H412" t="n">
        <v>0</v>
      </c>
      <c r="I412" t="n">
        <v>0</v>
      </c>
      <c r="J412" t="n">
        <v>0</v>
      </c>
      <c r="K412" t="n">
        <v>0</v>
      </c>
      <c r="L412" t="n">
        <v>0</v>
      </c>
      <c r="M412" t="n">
        <v>0</v>
      </c>
      <c r="N412" t="n">
        <v>0</v>
      </c>
      <c r="O412" t="n">
        <v>0</v>
      </c>
      <c r="P412" t="n">
        <v>0</v>
      </c>
      <c r="Q412" t="n">
        <v>0</v>
      </c>
      <c r="R412" s="2" t="inlineStr"/>
    </row>
    <row r="413" ht="15" customHeight="1">
      <c r="A413" t="inlineStr">
        <is>
          <t>A 41499-2025</t>
        </is>
      </c>
      <c r="B413" s="1" t="n">
        <v>45901</v>
      </c>
      <c r="C413" s="1" t="n">
        <v>46035</v>
      </c>
      <c r="D413" t="inlineStr">
        <is>
          <t>VÄRMLANDS LÄN</t>
        </is>
      </c>
      <c r="E413" t="inlineStr">
        <is>
          <t>ÅRJÄNG</t>
        </is>
      </c>
      <c r="G413" t="n">
        <v>2.7</v>
      </c>
      <c r="H413" t="n">
        <v>0</v>
      </c>
      <c r="I413" t="n">
        <v>0</v>
      </c>
      <c r="J413" t="n">
        <v>0</v>
      </c>
      <c r="K413" t="n">
        <v>0</v>
      </c>
      <c r="L413" t="n">
        <v>0</v>
      </c>
      <c r="M413" t="n">
        <v>0</v>
      </c>
      <c r="N413" t="n">
        <v>0</v>
      </c>
      <c r="O413" t="n">
        <v>0</v>
      </c>
      <c r="P413" t="n">
        <v>0</v>
      </c>
      <c r="Q413" t="n">
        <v>0</v>
      </c>
      <c r="R413" s="2" t="inlineStr"/>
    </row>
    <row r="414" ht="15" customHeight="1">
      <c r="A414" t="inlineStr">
        <is>
          <t>A 49424-2025</t>
        </is>
      </c>
      <c r="B414" s="1" t="n">
        <v>45938.72657407408</v>
      </c>
      <c r="C414" s="1" t="n">
        <v>46035</v>
      </c>
      <c r="D414" t="inlineStr">
        <is>
          <t>VÄRMLANDS LÄN</t>
        </is>
      </c>
      <c r="E414" t="inlineStr">
        <is>
          <t>ÅRJÄNG</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41763-2025</t>
        </is>
      </c>
      <c r="B415" s="1" t="n">
        <v>45902.54175925926</v>
      </c>
      <c r="C415" s="1" t="n">
        <v>46035</v>
      </c>
      <c r="D415" t="inlineStr">
        <is>
          <t>VÄRMLANDS LÄN</t>
        </is>
      </c>
      <c r="E415" t="inlineStr">
        <is>
          <t>ÅRJÄNG</t>
        </is>
      </c>
      <c r="G415" t="n">
        <v>3.4</v>
      </c>
      <c r="H415" t="n">
        <v>0</v>
      </c>
      <c r="I415" t="n">
        <v>0</v>
      </c>
      <c r="J415" t="n">
        <v>0</v>
      </c>
      <c r="K415" t="n">
        <v>0</v>
      </c>
      <c r="L415" t="n">
        <v>0</v>
      </c>
      <c r="M415" t="n">
        <v>0</v>
      </c>
      <c r="N415" t="n">
        <v>0</v>
      </c>
      <c r="O415" t="n">
        <v>0</v>
      </c>
      <c r="P415" t="n">
        <v>0</v>
      </c>
      <c r="Q415" t="n">
        <v>0</v>
      </c>
      <c r="R415" s="2" t="inlineStr"/>
    </row>
    <row r="416" ht="15" customHeight="1">
      <c r="A416" t="inlineStr">
        <is>
          <t>A 41772-2025</t>
        </is>
      </c>
      <c r="B416" s="1" t="n">
        <v>45902.55828703703</v>
      </c>
      <c r="C416" s="1" t="n">
        <v>46035</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50388-2024</t>
        </is>
      </c>
      <c r="B417" s="1" t="n">
        <v>45600</v>
      </c>
      <c r="C417" s="1" t="n">
        <v>46035</v>
      </c>
      <c r="D417" t="inlineStr">
        <is>
          <t>VÄRMLANDS LÄN</t>
        </is>
      </c>
      <c r="E417" t="inlineStr">
        <is>
          <t>ÅRJÄNG</t>
        </is>
      </c>
      <c r="G417" t="n">
        <v>1.3</v>
      </c>
      <c r="H417" t="n">
        <v>0</v>
      </c>
      <c r="I417" t="n">
        <v>0</v>
      </c>
      <c r="J417" t="n">
        <v>0</v>
      </c>
      <c r="K417" t="n">
        <v>0</v>
      </c>
      <c r="L417" t="n">
        <v>0</v>
      </c>
      <c r="M417" t="n">
        <v>0</v>
      </c>
      <c r="N417" t="n">
        <v>0</v>
      </c>
      <c r="O417" t="n">
        <v>0</v>
      </c>
      <c r="P417" t="n">
        <v>0</v>
      </c>
      <c r="Q417" t="n">
        <v>0</v>
      </c>
      <c r="R417" s="2" t="inlineStr"/>
    </row>
    <row r="418" ht="15" customHeight="1">
      <c r="A418" t="inlineStr">
        <is>
          <t>A 41771-2025</t>
        </is>
      </c>
      <c r="B418" s="1" t="n">
        <v>45902.55228009259</v>
      </c>
      <c r="C418" s="1" t="n">
        <v>46035</v>
      </c>
      <c r="D418" t="inlineStr">
        <is>
          <t>VÄRMLANDS LÄN</t>
        </is>
      </c>
      <c r="E418" t="inlineStr">
        <is>
          <t>ÅRJÄNG</t>
        </is>
      </c>
      <c r="G418" t="n">
        <v>1.9</v>
      </c>
      <c r="H418" t="n">
        <v>0</v>
      </c>
      <c r="I418" t="n">
        <v>0</v>
      </c>
      <c r="J418" t="n">
        <v>0</v>
      </c>
      <c r="K418" t="n">
        <v>0</v>
      </c>
      <c r="L418" t="n">
        <v>0</v>
      </c>
      <c r="M418" t="n">
        <v>0</v>
      </c>
      <c r="N418" t="n">
        <v>0</v>
      </c>
      <c r="O418" t="n">
        <v>0</v>
      </c>
      <c r="P418" t="n">
        <v>0</v>
      </c>
      <c r="Q418" t="n">
        <v>0</v>
      </c>
      <c r="R418" s="2" t="inlineStr"/>
    </row>
    <row r="419" ht="15" customHeight="1">
      <c r="A419" t="inlineStr">
        <is>
          <t>A 24339-2024</t>
        </is>
      </c>
      <c r="B419" s="1" t="n">
        <v>45457</v>
      </c>
      <c r="C419" s="1" t="n">
        <v>46035</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41488-2025</t>
        </is>
      </c>
      <c r="B420" s="1" t="n">
        <v>45901.48288194444</v>
      </c>
      <c r="C420" s="1" t="n">
        <v>46035</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62266-2023</t>
        </is>
      </c>
      <c r="B421" s="1" t="n">
        <v>45266</v>
      </c>
      <c r="C421" s="1" t="n">
        <v>46035</v>
      </c>
      <c r="D421" t="inlineStr">
        <is>
          <t>VÄRMLANDS LÄN</t>
        </is>
      </c>
      <c r="E421" t="inlineStr">
        <is>
          <t>ÅRJÄNG</t>
        </is>
      </c>
      <c r="G421" t="n">
        <v>10.5</v>
      </c>
      <c r="H421" t="n">
        <v>0</v>
      </c>
      <c r="I421" t="n">
        <v>0</v>
      </c>
      <c r="J421" t="n">
        <v>0</v>
      </c>
      <c r="K421" t="n">
        <v>0</v>
      </c>
      <c r="L421" t="n">
        <v>0</v>
      </c>
      <c r="M421" t="n">
        <v>0</v>
      </c>
      <c r="N421" t="n">
        <v>0</v>
      </c>
      <c r="O421" t="n">
        <v>0</v>
      </c>
      <c r="P421" t="n">
        <v>0</v>
      </c>
      <c r="Q421" t="n">
        <v>0</v>
      </c>
      <c r="R421" s="2" t="inlineStr"/>
    </row>
    <row r="422" ht="15" customHeight="1">
      <c r="A422" t="inlineStr">
        <is>
          <t>A 58141-2023</t>
        </is>
      </c>
      <c r="B422" s="1" t="n">
        <v>45245</v>
      </c>
      <c r="C422" s="1" t="n">
        <v>46035</v>
      </c>
      <c r="D422" t="inlineStr">
        <is>
          <t>VÄRMLANDS LÄN</t>
        </is>
      </c>
      <c r="E422" t="inlineStr">
        <is>
          <t>ÅRJÄNG</t>
        </is>
      </c>
      <c r="G422" t="n">
        <v>6.2</v>
      </c>
      <c r="H422" t="n">
        <v>0</v>
      </c>
      <c r="I422" t="n">
        <v>0</v>
      </c>
      <c r="J422" t="n">
        <v>0</v>
      </c>
      <c r="K422" t="n">
        <v>0</v>
      </c>
      <c r="L422" t="n">
        <v>0</v>
      </c>
      <c r="M422" t="n">
        <v>0</v>
      </c>
      <c r="N422" t="n">
        <v>0</v>
      </c>
      <c r="O422" t="n">
        <v>0</v>
      </c>
      <c r="P422" t="n">
        <v>0</v>
      </c>
      <c r="Q422" t="n">
        <v>0</v>
      </c>
      <c r="R422" s="2" t="inlineStr"/>
    </row>
    <row r="423" ht="15" customHeight="1">
      <c r="A423" t="inlineStr">
        <is>
          <t>A 27138-2024</t>
        </is>
      </c>
      <c r="B423" s="1" t="n">
        <v>45471</v>
      </c>
      <c r="C423" s="1" t="n">
        <v>46035</v>
      </c>
      <c r="D423" t="inlineStr">
        <is>
          <t>VÄRMLANDS LÄN</t>
        </is>
      </c>
      <c r="E423" t="inlineStr">
        <is>
          <t>ÅRJÄNG</t>
        </is>
      </c>
      <c r="G423" t="n">
        <v>5.7</v>
      </c>
      <c r="H423" t="n">
        <v>0</v>
      </c>
      <c r="I423" t="n">
        <v>0</v>
      </c>
      <c r="J423" t="n">
        <v>0</v>
      </c>
      <c r="K423" t="n">
        <v>0</v>
      </c>
      <c r="L423" t="n">
        <v>0</v>
      </c>
      <c r="M423" t="n">
        <v>0</v>
      </c>
      <c r="N423" t="n">
        <v>0</v>
      </c>
      <c r="O423" t="n">
        <v>0</v>
      </c>
      <c r="P423" t="n">
        <v>0</v>
      </c>
      <c r="Q423" t="n">
        <v>0</v>
      </c>
      <c r="R423" s="2" t="inlineStr"/>
    </row>
    <row r="424" ht="15" customHeight="1">
      <c r="A424" t="inlineStr">
        <is>
          <t>A 41725-2025</t>
        </is>
      </c>
      <c r="B424" s="1" t="n">
        <v>45902.45458333333</v>
      </c>
      <c r="C424" s="1" t="n">
        <v>46035</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33304-2021</t>
        </is>
      </c>
      <c r="B425" s="1" t="n">
        <v>44377.43040509259</v>
      </c>
      <c r="C425" s="1" t="n">
        <v>46035</v>
      </c>
      <c r="D425" t="inlineStr">
        <is>
          <t>VÄRMLANDS LÄN</t>
        </is>
      </c>
      <c r="E425" t="inlineStr">
        <is>
          <t>ÅRJÄNG</t>
        </is>
      </c>
      <c r="G425" t="n">
        <v>4.9</v>
      </c>
      <c r="H425" t="n">
        <v>0</v>
      </c>
      <c r="I425" t="n">
        <v>0</v>
      </c>
      <c r="J425" t="n">
        <v>0</v>
      </c>
      <c r="K425" t="n">
        <v>0</v>
      </c>
      <c r="L425" t="n">
        <v>0</v>
      </c>
      <c r="M425" t="n">
        <v>0</v>
      </c>
      <c r="N425" t="n">
        <v>0</v>
      </c>
      <c r="O425" t="n">
        <v>0</v>
      </c>
      <c r="P425" t="n">
        <v>0</v>
      </c>
      <c r="Q425" t="n">
        <v>0</v>
      </c>
      <c r="R425" s="2" t="inlineStr"/>
    </row>
    <row r="426" ht="15" customHeight="1">
      <c r="A426" t="inlineStr">
        <is>
          <t>A 30693-2021</t>
        </is>
      </c>
      <c r="B426" s="1" t="n">
        <v>44365</v>
      </c>
      <c r="C426" s="1" t="n">
        <v>46035</v>
      </c>
      <c r="D426" t="inlineStr">
        <is>
          <t>VÄRMLANDS LÄN</t>
        </is>
      </c>
      <c r="E426" t="inlineStr">
        <is>
          <t>ÅRJÄNG</t>
        </is>
      </c>
      <c r="G426" t="n">
        <v>8.4</v>
      </c>
      <c r="H426" t="n">
        <v>0</v>
      </c>
      <c r="I426" t="n">
        <v>0</v>
      </c>
      <c r="J426" t="n">
        <v>0</v>
      </c>
      <c r="K426" t="n">
        <v>0</v>
      </c>
      <c r="L426" t="n">
        <v>0</v>
      </c>
      <c r="M426" t="n">
        <v>0</v>
      </c>
      <c r="N426" t="n">
        <v>0</v>
      </c>
      <c r="O426" t="n">
        <v>0</v>
      </c>
      <c r="P426" t="n">
        <v>0</v>
      </c>
      <c r="Q426" t="n">
        <v>0</v>
      </c>
      <c r="R426" s="2" t="inlineStr"/>
    </row>
    <row r="427" ht="15" customHeight="1">
      <c r="A427" t="inlineStr">
        <is>
          <t>A 42333-2025</t>
        </is>
      </c>
      <c r="B427" s="1" t="n">
        <v>45904</v>
      </c>
      <c r="C427" s="1" t="n">
        <v>46035</v>
      </c>
      <c r="D427" t="inlineStr">
        <is>
          <t>VÄRMLANDS LÄN</t>
        </is>
      </c>
      <c r="E427" t="inlineStr">
        <is>
          <t>ÅRJÄNG</t>
        </is>
      </c>
      <c r="G427" t="n">
        <v>3.8</v>
      </c>
      <c r="H427" t="n">
        <v>0</v>
      </c>
      <c r="I427" t="n">
        <v>0</v>
      </c>
      <c r="J427" t="n">
        <v>0</v>
      </c>
      <c r="K427" t="n">
        <v>0</v>
      </c>
      <c r="L427" t="n">
        <v>0</v>
      </c>
      <c r="M427" t="n">
        <v>0</v>
      </c>
      <c r="N427" t="n">
        <v>0</v>
      </c>
      <c r="O427" t="n">
        <v>0</v>
      </c>
      <c r="P427" t="n">
        <v>0</v>
      </c>
      <c r="Q427" t="n">
        <v>0</v>
      </c>
      <c r="R427" s="2" t="inlineStr"/>
    </row>
    <row r="428" ht="15" customHeight="1">
      <c r="A428" t="inlineStr">
        <is>
          <t>A 72476-2021</t>
        </is>
      </c>
      <c r="B428" s="1" t="n">
        <v>44545.86997685185</v>
      </c>
      <c r="C428" s="1" t="n">
        <v>46035</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39008-2023</t>
        </is>
      </c>
      <c r="B429" s="1" t="n">
        <v>45162</v>
      </c>
      <c r="C429" s="1" t="n">
        <v>46035</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6577-2025</t>
        </is>
      </c>
      <c r="B430" s="1" t="n">
        <v>45699.87793981482</v>
      </c>
      <c r="C430" s="1" t="n">
        <v>46035</v>
      </c>
      <c r="D430" t="inlineStr">
        <is>
          <t>VÄRMLANDS LÄN</t>
        </is>
      </c>
      <c r="E430" t="inlineStr">
        <is>
          <t>ÅRJÄNG</t>
        </is>
      </c>
      <c r="G430" t="n">
        <v>1.2</v>
      </c>
      <c r="H430" t="n">
        <v>0</v>
      </c>
      <c r="I430" t="n">
        <v>0</v>
      </c>
      <c r="J430" t="n">
        <v>0</v>
      </c>
      <c r="K430" t="n">
        <v>0</v>
      </c>
      <c r="L430" t="n">
        <v>0</v>
      </c>
      <c r="M430" t="n">
        <v>0</v>
      </c>
      <c r="N430" t="n">
        <v>0</v>
      </c>
      <c r="O430" t="n">
        <v>0</v>
      </c>
      <c r="P430" t="n">
        <v>0</v>
      </c>
      <c r="Q430" t="n">
        <v>0</v>
      </c>
      <c r="R430" s="2" t="inlineStr"/>
    </row>
    <row r="431" ht="15" customHeight="1">
      <c r="A431" t="inlineStr">
        <is>
          <t>A 19246-2024</t>
        </is>
      </c>
      <c r="B431" s="1" t="n">
        <v>45428</v>
      </c>
      <c r="C431" s="1" t="n">
        <v>46035</v>
      </c>
      <c r="D431" t="inlineStr">
        <is>
          <t>VÄRMLANDS LÄN</t>
        </is>
      </c>
      <c r="E431" t="inlineStr">
        <is>
          <t>ÅRJÄNG</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1665-2023</t>
        </is>
      </c>
      <c r="B432" s="1" t="n">
        <v>44938</v>
      </c>
      <c r="C432" s="1" t="n">
        <v>46035</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38158-2023</t>
        </is>
      </c>
      <c r="B433" s="1" t="n">
        <v>45161</v>
      </c>
      <c r="C433" s="1" t="n">
        <v>46035</v>
      </c>
      <c r="D433" t="inlineStr">
        <is>
          <t>VÄRMLANDS LÄN</t>
        </is>
      </c>
      <c r="E433" t="inlineStr">
        <is>
          <t>ÅRJÄNG</t>
        </is>
      </c>
      <c r="G433" t="n">
        <v>1.1</v>
      </c>
      <c r="H433" t="n">
        <v>0</v>
      </c>
      <c r="I433" t="n">
        <v>0</v>
      </c>
      <c r="J433" t="n">
        <v>0</v>
      </c>
      <c r="K433" t="n">
        <v>0</v>
      </c>
      <c r="L433" t="n">
        <v>0</v>
      </c>
      <c r="M433" t="n">
        <v>0</v>
      </c>
      <c r="N433" t="n">
        <v>0</v>
      </c>
      <c r="O433" t="n">
        <v>0</v>
      </c>
      <c r="P433" t="n">
        <v>0</v>
      </c>
      <c r="Q433" t="n">
        <v>0</v>
      </c>
      <c r="R433" s="2" t="inlineStr"/>
    </row>
    <row r="434" ht="15" customHeight="1">
      <c r="A434" t="inlineStr">
        <is>
          <t>A 28733-2024</t>
        </is>
      </c>
      <c r="B434" s="1" t="n">
        <v>45478</v>
      </c>
      <c r="C434" s="1" t="n">
        <v>46035</v>
      </c>
      <c r="D434" t="inlineStr">
        <is>
          <t>VÄRMLANDS LÄN</t>
        </is>
      </c>
      <c r="E434" t="inlineStr">
        <is>
          <t>ÅRJÄNG</t>
        </is>
      </c>
      <c r="F434" t="inlineStr">
        <is>
          <t>Bergvik skog väst AB</t>
        </is>
      </c>
      <c r="G434" t="n">
        <v>1.8</v>
      </c>
      <c r="H434" t="n">
        <v>0</v>
      </c>
      <c r="I434" t="n">
        <v>0</v>
      </c>
      <c r="J434" t="n">
        <v>0</v>
      </c>
      <c r="K434" t="n">
        <v>0</v>
      </c>
      <c r="L434" t="n">
        <v>0</v>
      </c>
      <c r="M434" t="n">
        <v>0</v>
      </c>
      <c r="N434" t="n">
        <v>0</v>
      </c>
      <c r="O434" t="n">
        <v>0</v>
      </c>
      <c r="P434" t="n">
        <v>0</v>
      </c>
      <c r="Q434" t="n">
        <v>0</v>
      </c>
      <c r="R434" s="2" t="inlineStr"/>
    </row>
    <row r="435" ht="15" customHeight="1">
      <c r="A435" t="inlineStr">
        <is>
          <t>A 42677-2025</t>
        </is>
      </c>
      <c r="B435" s="1" t="n">
        <v>45908.32836805555</v>
      </c>
      <c r="C435" s="1" t="n">
        <v>46035</v>
      </c>
      <c r="D435" t="inlineStr">
        <is>
          <t>VÄRMLANDS LÄN</t>
        </is>
      </c>
      <c r="E435" t="inlineStr">
        <is>
          <t>ÅRJÄNG</t>
        </is>
      </c>
      <c r="G435" t="n">
        <v>2.7</v>
      </c>
      <c r="H435" t="n">
        <v>0</v>
      </c>
      <c r="I435" t="n">
        <v>0</v>
      </c>
      <c r="J435" t="n">
        <v>0</v>
      </c>
      <c r="K435" t="n">
        <v>0</v>
      </c>
      <c r="L435" t="n">
        <v>0</v>
      </c>
      <c r="M435" t="n">
        <v>0</v>
      </c>
      <c r="N435" t="n">
        <v>0</v>
      </c>
      <c r="O435" t="n">
        <v>0</v>
      </c>
      <c r="P435" t="n">
        <v>0</v>
      </c>
      <c r="Q435" t="n">
        <v>0</v>
      </c>
      <c r="R435" s="2" t="inlineStr"/>
    </row>
    <row r="436" ht="15" customHeight="1">
      <c r="A436" t="inlineStr">
        <is>
          <t>A 1289-2025</t>
        </is>
      </c>
      <c r="B436" s="1" t="n">
        <v>45667.51412037037</v>
      </c>
      <c r="C436" s="1" t="n">
        <v>46035</v>
      </c>
      <c r="D436" t="inlineStr">
        <is>
          <t>VÄRMLANDS LÄN</t>
        </is>
      </c>
      <c r="E436" t="inlineStr">
        <is>
          <t>ÅRJÄNG</t>
        </is>
      </c>
      <c r="G436" t="n">
        <v>2.6</v>
      </c>
      <c r="H436" t="n">
        <v>0</v>
      </c>
      <c r="I436" t="n">
        <v>0</v>
      </c>
      <c r="J436" t="n">
        <v>0</v>
      </c>
      <c r="K436" t="n">
        <v>0</v>
      </c>
      <c r="L436" t="n">
        <v>0</v>
      </c>
      <c r="M436" t="n">
        <v>0</v>
      </c>
      <c r="N436" t="n">
        <v>0</v>
      </c>
      <c r="O436" t="n">
        <v>0</v>
      </c>
      <c r="P436" t="n">
        <v>0</v>
      </c>
      <c r="Q436" t="n">
        <v>0</v>
      </c>
      <c r="R436" s="2" t="inlineStr"/>
    </row>
    <row r="437" ht="15" customHeight="1">
      <c r="A437" t="inlineStr">
        <is>
          <t>A 13029-2025</t>
        </is>
      </c>
      <c r="B437" s="1" t="n">
        <v>45734.5703125</v>
      </c>
      <c r="C437" s="1" t="n">
        <v>46035</v>
      </c>
      <c r="D437" t="inlineStr">
        <is>
          <t>VÄRMLANDS LÄN</t>
        </is>
      </c>
      <c r="E437" t="inlineStr">
        <is>
          <t>ÅRJÄNG</t>
        </is>
      </c>
      <c r="G437" t="n">
        <v>4.1</v>
      </c>
      <c r="H437" t="n">
        <v>0</v>
      </c>
      <c r="I437" t="n">
        <v>0</v>
      </c>
      <c r="J437" t="n">
        <v>0</v>
      </c>
      <c r="K437" t="n">
        <v>0</v>
      </c>
      <c r="L437" t="n">
        <v>0</v>
      </c>
      <c r="M437" t="n">
        <v>0</v>
      </c>
      <c r="N437" t="n">
        <v>0</v>
      </c>
      <c r="O437" t="n">
        <v>0</v>
      </c>
      <c r="P437" t="n">
        <v>0</v>
      </c>
      <c r="Q437" t="n">
        <v>0</v>
      </c>
      <c r="R437" s="2" t="inlineStr"/>
    </row>
    <row r="438" ht="15" customHeight="1">
      <c r="A438" t="inlineStr">
        <is>
          <t>A 30993-2024</t>
        </is>
      </c>
      <c r="B438" s="1" t="n">
        <v>45499</v>
      </c>
      <c r="C438" s="1" t="n">
        <v>46035</v>
      </c>
      <c r="D438" t="inlineStr">
        <is>
          <t>VÄRMLANDS LÄN</t>
        </is>
      </c>
      <c r="E438" t="inlineStr">
        <is>
          <t>ÅRJÄNG</t>
        </is>
      </c>
      <c r="F438" t="inlineStr">
        <is>
          <t>Kyrkan</t>
        </is>
      </c>
      <c r="G438" t="n">
        <v>4.7</v>
      </c>
      <c r="H438" t="n">
        <v>0</v>
      </c>
      <c r="I438" t="n">
        <v>0</v>
      </c>
      <c r="J438" t="n">
        <v>0</v>
      </c>
      <c r="K438" t="n">
        <v>0</v>
      </c>
      <c r="L438" t="n">
        <v>0</v>
      </c>
      <c r="M438" t="n">
        <v>0</v>
      </c>
      <c r="N438" t="n">
        <v>0</v>
      </c>
      <c r="O438" t="n">
        <v>0</v>
      </c>
      <c r="P438" t="n">
        <v>0</v>
      </c>
      <c r="Q438" t="n">
        <v>0</v>
      </c>
      <c r="R438" s="2" t="inlineStr"/>
    </row>
    <row r="439" ht="15" customHeight="1">
      <c r="A439" t="inlineStr">
        <is>
          <t>A 42562-2025</t>
        </is>
      </c>
      <c r="B439" s="1" t="n">
        <v>45905.59986111111</v>
      </c>
      <c r="C439" s="1" t="n">
        <v>46035</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92-2022</t>
        </is>
      </c>
      <c r="B440" s="1" t="n">
        <v>44564</v>
      </c>
      <c r="C440" s="1" t="n">
        <v>46035</v>
      </c>
      <c r="D440" t="inlineStr">
        <is>
          <t>VÄRMLANDS LÄN</t>
        </is>
      </c>
      <c r="E440" t="inlineStr">
        <is>
          <t>ÅRJÄNG</t>
        </is>
      </c>
      <c r="G440" t="n">
        <v>10.4</v>
      </c>
      <c r="H440" t="n">
        <v>0</v>
      </c>
      <c r="I440" t="n">
        <v>0</v>
      </c>
      <c r="J440" t="n">
        <v>0</v>
      </c>
      <c r="K440" t="n">
        <v>0</v>
      </c>
      <c r="L440" t="n">
        <v>0</v>
      </c>
      <c r="M440" t="n">
        <v>0</v>
      </c>
      <c r="N440" t="n">
        <v>0</v>
      </c>
      <c r="O440" t="n">
        <v>0</v>
      </c>
      <c r="P440" t="n">
        <v>0</v>
      </c>
      <c r="Q440" t="n">
        <v>0</v>
      </c>
      <c r="R440" s="2" t="inlineStr"/>
    </row>
    <row r="441" ht="15" customHeight="1">
      <c r="A441" t="inlineStr">
        <is>
          <t>A 9489-2023</t>
        </is>
      </c>
      <c r="B441" s="1" t="n">
        <v>44981</v>
      </c>
      <c r="C441" s="1" t="n">
        <v>46035</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36642-2021</t>
        </is>
      </c>
      <c r="B442" s="1" t="n">
        <v>44392</v>
      </c>
      <c r="C442" s="1" t="n">
        <v>46035</v>
      </c>
      <c r="D442" t="inlineStr">
        <is>
          <t>VÄRMLANDS LÄN</t>
        </is>
      </c>
      <c r="E442" t="inlineStr">
        <is>
          <t>ÅRJÄNG</t>
        </is>
      </c>
      <c r="G442" t="n">
        <v>6.1</v>
      </c>
      <c r="H442" t="n">
        <v>0</v>
      </c>
      <c r="I442" t="n">
        <v>0</v>
      </c>
      <c r="J442" t="n">
        <v>0</v>
      </c>
      <c r="K442" t="n">
        <v>0</v>
      </c>
      <c r="L442" t="n">
        <v>0</v>
      </c>
      <c r="M442" t="n">
        <v>0</v>
      </c>
      <c r="N442" t="n">
        <v>0</v>
      </c>
      <c r="O442" t="n">
        <v>0</v>
      </c>
      <c r="P442" t="n">
        <v>0</v>
      </c>
      <c r="Q442" t="n">
        <v>0</v>
      </c>
      <c r="R442" s="2" t="inlineStr"/>
    </row>
    <row r="443" ht="15" customHeight="1">
      <c r="A443" t="inlineStr">
        <is>
          <t>A 38057-2024</t>
        </is>
      </c>
      <c r="B443" s="1" t="n">
        <v>45544.73293981481</v>
      </c>
      <c r="C443" s="1" t="n">
        <v>46035</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521-2025</t>
        </is>
      </c>
      <c r="B444" s="1" t="n">
        <v>45664.48826388889</v>
      </c>
      <c r="C444" s="1" t="n">
        <v>46035</v>
      </c>
      <c r="D444" t="inlineStr">
        <is>
          <t>VÄRMLANDS LÄN</t>
        </is>
      </c>
      <c r="E444" t="inlineStr">
        <is>
          <t>ÅRJÄNG</t>
        </is>
      </c>
      <c r="G444" t="n">
        <v>2.7</v>
      </c>
      <c r="H444" t="n">
        <v>0</v>
      </c>
      <c r="I444" t="n">
        <v>0</v>
      </c>
      <c r="J444" t="n">
        <v>0</v>
      </c>
      <c r="K444" t="n">
        <v>0</v>
      </c>
      <c r="L444" t="n">
        <v>0</v>
      </c>
      <c r="M444" t="n">
        <v>0</v>
      </c>
      <c r="N444" t="n">
        <v>0</v>
      </c>
      <c r="O444" t="n">
        <v>0</v>
      </c>
      <c r="P444" t="n">
        <v>0</v>
      </c>
      <c r="Q444" t="n">
        <v>0</v>
      </c>
      <c r="R444" s="2" t="inlineStr"/>
    </row>
    <row r="445" ht="15" customHeight="1">
      <c r="A445" t="inlineStr">
        <is>
          <t>A 43012-2025</t>
        </is>
      </c>
      <c r="B445" s="1" t="n">
        <v>45909.48989583334</v>
      </c>
      <c r="C445" s="1" t="n">
        <v>46035</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19245-2024</t>
        </is>
      </c>
      <c r="B446" s="1" t="n">
        <v>45428</v>
      </c>
      <c r="C446" s="1" t="n">
        <v>46035</v>
      </c>
      <c r="D446" t="inlineStr">
        <is>
          <t>VÄRMLANDS LÄN</t>
        </is>
      </c>
      <c r="E446" t="inlineStr">
        <is>
          <t>ÅRJÄNG</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42971-2025</t>
        </is>
      </c>
      <c r="B447" s="1" t="n">
        <v>45909.41502314815</v>
      </c>
      <c r="C447" s="1" t="n">
        <v>46035</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43162-2025</t>
        </is>
      </c>
      <c r="B448" s="1" t="n">
        <v>45910</v>
      </c>
      <c r="C448" s="1" t="n">
        <v>46035</v>
      </c>
      <c r="D448" t="inlineStr">
        <is>
          <t>VÄRMLANDS LÄN</t>
        </is>
      </c>
      <c r="E448" t="inlineStr">
        <is>
          <t>ÅRJÄNG</t>
        </is>
      </c>
      <c r="F448" t="inlineStr">
        <is>
          <t>Bergvik skog väst AB</t>
        </is>
      </c>
      <c r="G448" t="n">
        <v>12.9</v>
      </c>
      <c r="H448" t="n">
        <v>0</v>
      </c>
      <c r="I448" t="n">
        <v>0</v>
      </c>
      <c r="J448" t="n">
        <v>0</v>
      </c>
      <c r="K448" t="n">
        <v>0</v>
      </c>
      <c r="L448" t="n">
        <v>0</v>
      </c>
      <c r="M448" t="n">
        <v>0</v>
      </c>
      <c r="N448" t="n">
        <v>0</v>
      </c>
      <c r="O448" t="n">
        <v>0</v>
      </c>
      <c r="P448" t="n">
        <v>0</v>
      </c>
      <c r="Q448" t="n">
        <v>0</v>
      </c>
      <c r="R448" s="2" t="inlineStr"/>
    </row>
    <row r="449" ht="15" customHeight="1">
      <c r="A449" t="inlineStr">
        <is>
          <t>A 61154-2021</t>
        </is>
      </c>
      <c r="B449" s="1" t="n">
        <v>44497</v>
      </c>
      <c r="C449" s="1" t="n">
        <v>46035</v>
      </c>
      <c r="D449" t="inlineStr">
        <is>
          <t>VÄRMLANDS LÄN</t>
        </is>
      </c>
      <c r="E449" t="inlineStr">
        <is>
          <t>ÅRJÄNG</t>
        </is>
      </c>
      <c r="G449" t="n">
        <v>1.6</v>
      </c>
      <c r="H449" t="n">
        <v>0</v>
      </c>
      <c r="I449" t="n">
        <v>0</v>
      </c>
      <c r="J449" t="n">
        <v>0</v>
      </c>
      <c r="K449" t="n">
        <v>0</v>
      </c>
      <c r="L449" t="n">
        <v>0</v>
      </c>
      <c r="M449" t="n">
        <v>0</v>
      </c>
      <c r="N449" t="n">
        <v>0</v>
      </c>
      <c r="O449" t="n">
        <v>0</v>
      </c>
      <c r="P449" t="n">
        <v>0</v>
      </c>
      <c r="Q449" t="n">
        <v>0</v>
      </c>
      <c r="R449" s="2" t="inlineStr"/>
    </row>
    <row r="450" ht="15" customHeight="1">
      <c r="A450" t="inlineStr">
        <is>
          <t>A 34643-2024</t>
        </is>
      </c>
      <c r="B450" s="1" t="n">
        <v>45526</v>
      </c>
      <c r="C450" s="1" t="n">
        <v>46035</v>
      </c>
      <c r="D450" t="inlineStr">
        <is>
          <t>VÄRMLANDS LÄN</t>
        </is>
      </c>
      <c r="E450" t="inlineStr">
        <is>
          <t>ÅRJÄNG</t>
        </is>
      </c>
      <c r="G450" t="n">
        <v>3.4</v>
      </c>
      <c r="H450" t="n">
        <v>0</v>
      </c>
      <c r="I450" t="n">
        <v>0</v>
      </c>
      <c r="J450" t="n">
        <v>0</v>
      </c>
      <c r="K450" t="n">
        <v>0</v>
      </c>
      <c r="L450" t="n">
        <v>0</v>
      </c>
      <c r="M450" t="n">
        <v>0</v>
      </c>
      <c r="N450" t="n">
        <v>0</v>
      </c>
      <c r="O450" t="n">
        <v>0</v>
      </c>
      <c r="P450" t="n">
        <v>0</v>
      </c>
      <c r="Q450" t="n">
        <v>0</v>
      </c>
      <c r="R450" s="2" t="inlineStr"/>
    </row>
    <row r="451" ht="15" customHeight="1">
      <c r="A451" t="inlineStr">
        <is>
          <t>A 43025-2025</t>
        </is>
      </c>
      <c r="B451" s="1" t="n">
        <v>45909.53126157408</v>
      </c>
      <c r="C451" s="1" t="n">
        <v>46035</v>
      </c>
      <c r="D451" t="inlineStr">
        <is>
          <t>VÄRMLANDS LÄN</t>
        </is>
      </c>
      <c r="E451" t="inlineStr">
        <is>
          <t>ÅRJÄNG</t>
        </is>
      </c>
      <c r="G451" t="n">
        <v>3.8</v>
      </c>
      <c r="H451" t="n">
        <v>0</v>
      </c>
      <c r="I451" t="n">
        <v>0</v>
      </c>
      <c r="J451" t="n">
        <v>0</v>
      </c>
      <c r="K451" t="n">
        <v>0</v>
      </c>
      <c r="L451" t="n">
        <v>0</v>
      </c>
      <c r="M451" t="n">
        <v>0</v>
      </c>
      <c r="N451" t="n">
        <v>0</v>
      </c>
      <c r="O451" t="n">
        <v>0</v>
      </c>
      <c r="P451" t="n">
        <v>0</v>
      </c>
      <c r="Q451" t="n">
        <v>0</v>
      </c>
      <c r="R451" s="2" t="inlineStr"/>
    </row>
    <row r="452" ht="15" customHeight="1">
      <c r="A452" t="inlineStr">
        <is>
          <t>A 43047-2025</t>
        </is>
      </c>
      <c r="B452" s="1" t="n">
        <v>45909.56127314815</v>
      </c>
      <c r="C452" s="1" t="n">
        <v>46035</v>
      </c>
      <c r="D452" t="inlineStr">
        <is>
          <t>VÄRMLANDS LÄN</t>
        </is>
      </c>
      <c r="E452" t="inlineStr">
        <is>
          <t>ÅRJÄNG</t>
        </is>
      </c>
      <c r="G452" t="n">
        <v>6.3</v>
      </c>
      <c r="H452" t="n">
        <v>0</v>
      </c>
      <c r="I452" t="n">
        <v>0</v>
      </c>
      <c r="J452" t="n">
        <v>0</v>
      </c>
      <c r="K452" t="n">
        <v>0</v>
      </c>
      <c r="L452" t="n">
        <v>0</v>
      </c>
      <c r="M452" t="n">
        <v>0</v>
      </c>
      <c r="N452" t="n">
        <v>0</v>
      </c>
      <c r="O452" t="n">
        <v>0</v>
      </c>
      <c r="P452" t="n">
        <v>0</v>
      </c>
      <c r="Q452" t="n">
        <v>0</v>
      </c>
      <c r="R452" s="2" t="inlineStr"/>
    </row>
    <row r="453" ht="15" customHeight="1">
      <c r="A453" t="inlineStr">
        <is>
          <t>A 2969-2022</t>
        </is>
      </c>
      <c r="B453" s="1" t="n">
        <v>44581.70811342593</v>
      </c>
      <c r="C453" s="1" t="n">
        <v>46035</v>
      </c>
      <c r="D453" t="inlineStr">
        <is>
          <t>VÄRMLANDS LÄN</t>
        </is>
      </c>
      <c r="E453" t="inlineStr">
        <is>
          <t>ÅRJÄNG</t>
        </is>
      </c>
      <c r="G453" t="n">
        <v>1.6</v>
      </c>
      <c r="H453" t="n">
        <v>0</v>
      </c>
      <c r="I453" t="n">
        <v>0</v>
      </c>
      <c r="J453" t="n">
        <v>0</v>
      </c>
      <c r="K453" t="n">
        <v>0</v>
      </c>
      <c r="L453" t="n">
        <v>0</v>
      </c>
      <c r="M453" t="n">
        <v>0</v>
      </c>
      <c r="N453" t="n">
        <v>0</v>
      </c>
      <c r="O453" t="n">
        <v>0</v>
      </c>
      <c r="P453" t="n">
        <v>0</v>
      </c>
      <c r="Q453" t="n">
        <v>0</v>
      </c>
      <c r="R453" s="2" t="inlineStr"/>
    </row>
    <row r="454" ht="15" customHeight="1">
      <c r="A454" t="inlineStr">
        <is>
          <t>A 43050-2025</t>
        </is>
      </c>
      <c r="B454" s="1" t="n">
        <v>45909.56809027777</v>
      </c>
      <c r="C454" s="1" t="n">
        <v>46035</v>
      </c>
      <c r="D454" t="inlineStr">
        <is>
          <t>VÄRMLANDS LÄN</t>
        </is>
      </c>
      <c r="E454" t="inlineStr">
        <is>
          <t>ÅRJÄNG</t>
        </is>
      </c>
      <c r="G454" t="n">
        <v>4.8</v>
      </c>
      <c r="H454" t="n">
        <v>0</v>
      </c>
      <c r="I454" t="n">
        <v>0</v>
      </c>
      <c r="J454" t="n">
        <v>0</v>
      </c>
      <c r="K454" t="n">
        <v>0</v>
      </c>
      <c r="L454" t="n">
        <v>0</v>
      </c>
      <c r="M454" t="n">
        <v>0</v>
      </c>
      <c r="N454" t="n">
        <v>0</v>
      </c>
      <c r="O454" t="n">
        <v>0</v>
      </c>
      <c r="P454" t="n">
        <v>0</v>
      </c>
      <c r="Q454" t="n">
        <v>0</v>
      </c>
      <c r="R454" s="2" t="inlineStr"/>
    </row>
    <row r="455" ht="15" customHeight="1">
      <c r="A455" t="inlineStr">
        <is>
          <t>A 4606-2024</t>
        </is>
      </c>
      <c r="B455" s="1" t="n">
        <v>45328.3225</v>
      </c>
      <c r="C455" s="1" t="n">
        <v>46035</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53332-2023</t>
        </is>
      </c>
      <c r="B456" s="1" t="n">
        <v>45229</v>
      </c>
      <c r="C456" s="1" t="n">
        <v>46035</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74448-2021</t>
        </is>
      </c>
      <c r="B457" s="1" t="n">
        <v>44560.47202546296</v>
      </c>
      <c r="C457" s="1" t="n">
        <v>46035</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43426-2025</t>
        </is>
      </c>
      <c r="B458" s="1" t="n">
        <v>45911.41869212963</v>
      </c>
      <c r="C458" s="1" t="n">
        <v>46035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61295-2022</t>
        </is>
      </c>
      <c r="B459" s="1" t="n">
        <v>44915</v>
      </c>
      <c r="C459" s="1" t="n">
        <v>46035</v>
      </c>
      <c r="D459" t="inlineStr">
        <is>
          <t>VÄRMLANDS LÄN</t>
        </is>
      </c>
      <c r="E459" t="inlineStr">
        <is>
          <t>ÅRJÄNG</t>
        </is>
      </c>
      <c r="G459" t="n">
        <v>0.4</v>
      </c>
      <c r="H459" t="n">
        <v>0</v>
      </c>
      <c r="I459" t="n">
        <v>0</v>
      </c>
      <c r="J459" t="n">
        <v>0</v>
      </c>
      <c r="K459" t="n">
        <v>0</v>
      </c>
      <c r="L459" t="n">
        <v>0</v>
      </c>
      <c r="M459" t="n">
        <v>0</v>
      </c>
      <c r="N459" t="n">
        <v>0</v>
      </c>
      <c r="O459" t="n">
        <v>0</v>
      </c>
      <c r="P459" t="n">
        <v>0</v>
      </c>
      <c r="Q459" t="n">
        <v>0</v>
      </c>
      <c r="R459" s="2" t="inlineStr"/>
    </row>
    <row r="460" ht="15" customHeight="1">
      <c r="A460" t="inlineStr">
        <is>
          <t>A 10648-2023</t>
        </is>
      </c>
      <c r="B460" s="1" t="n">
        <v>44984</v>
      </c>
      <c r="C460" s="1" t="n">
        <v>46035</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36282-2024</t>
        </is>
      </c>
      <c r="B461" s="1" t="n">
        <v>45534.5887962963</v>
      </c>
      <c r="C461" s="1" t="n">
        <v>46035</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43484-2025</t>
        </is>
      </c>
      <c r="B462" s="1" t="n">
        <v>45911.5033912037</v>
      </c>
      <c r="C462" s="1" t="n">
        <v>46035</v>
      </c>
      <c r="D462" t="inlineStr">
        <is>
          <t>VÄRMLANDS LÄN</t>
        </is>
      </c>
      <c r="E462" t="inlineStr">
        <is>
          <t>ÅRJÄNG</t>
        </is>
      </c>
      <c r="G462" t="n">
        <v>1.8</v>
      </c>
      <c r="H462" t="n">
        <v>0</v>
      </c>
      <c r="I462" t="n">
        <v>0</v>
      </c>
      <c r="J462" t="n">
        <v>0</v>
      </c>
      <c r="K462" t="n">
        <v>0</v>
      </c>
      <c r="L462" t="n">
        <v>0</v>
      </c>
      <c r="M462" t="n">
        <v>0</v>
      </c>
      <c r="N462" t="n">
        <v>0</v>
      </c>
      <c r="O462" t="n">
        <v>0</v>
      </c>
      <c r="P462" t="n">
        <v>0</v>
      </c>
      <c r="Q462" t="n">
        <v>0</v>
      </c>
      <c r="R462" s="2" t="inlineStr"/>
    </row>
    <row r="463" ht="15" customHeight="1">
      <c r="A463" t="inlineStr">
        <is>
          <t>A 61545-2024</t>
        </is>
      </c>
      <c r="B463" s="1" t="n">
        <v>45646.59966435185</v>
      </c>
      <c r="C463" s="1" t="n">
        <v>46035</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24252-2025</t>
        </is>
      </c>
      <c r="B464" s="1" t="n">
        <v>45797.40376157407</v>
      </c>
      <c r="C464" s="1" t="n">
        <v>46035</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56566-2022</t>
        </is>
      </c>
      <c r="B465" s="1" t="n">
        <v>44893.50795138889</v>
      </c>
      <c r="C465" s="1" t="n">
        <v>46035</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41201-2024</t>
        </is>
      </c>
      <c r="B466" s="1" t="n">
        <v>45559</v>
      </c>
      <c r="C466" s="1" t="n">
        <v>46035</v>
      </c>
      <c r="D466" t="inlineStr">
        <is>
          <t>VÄRMLANDS LÄN</t>
        </is>
      </c>
      <c r="E466" t="inlineStr">
        <is>
          <t>ÅRJÄNG</t>
        </is>
      </c>
      <c r="G466" t="n">
        <v>4.1</v>
      </c>
      <c r="H466" t="n">
        <v>0</v>
      </c>
      <c r="I466" t="n">
        <v>0</v>
      </c>
      <c r="J466" t="n">
        <v>0</v>
      </c>
      <c r="K466" t="n">
        <v>0</v>
      </c>
      <c r="L466" t="n">
        <v>0</v>
      </c>
      <c r="M466" t="n">
        <v>0</v>
      </c>
      <c r="N466" t="n">
        <v>0</v>
      </c>
      <c r="O466" t="n">
        <v>0</v>
      </c>
      <c r="P466" t="n">
        <v>0</v>
      </c>
      <c r="Q466" t="n">
        <v>0</v>
      </c>
      <c r="R466" s="2" t="inlineStr"/>
    </row>
    <row r="467" ht="15" customHeight="1">
      <c r="A467" t="inlineStr">
        <is>
          <t>A 37347-2024</t>
        </is>
      </c>
      <c r="B467" s="1" t="n">
        <v>45540</v>
      </c>
      <c r="C467" s="1" t="n">
        <v>46035</v>
      </c>
      <c r="D467" t="inlineStr">
        <is>
          <t>VÄRMLANDS LÄN</t>
        </is>
      </c>
      <c r="E467" t="inlineStr">
        <is>
          <t>ÅRJÄNG</t>
        </is>
      </c>
      <c r="G467" t="n">
        <v>1.9</v>
      </c>
      <c r="H467" t="n">
        <v>0</v>
      </c>
      <c r="I467" t="n">
        <v>0</v>
      </c>
      <c r="J467" t="n">
        <v>0</v>
      </c>
      <c r="K467" t="n">
        <v>0</v>
      </c>
      <c r="L467" t="n">
        <v>0</v>
      </c>
      <c r="M467" t="n">
        <v>0</v>
      </c>
      <c r="N467" t="n">
        <v>0</v>
      </c>
      <c r="O467" t="n">
        <v>0</v>
      </c>
      <c r="P467" t="n">
        <v>0</v>
      </c>
      <c r="Q467" t="n">
        <v>0</v>
      </c>
      <c r="R467" s="2" t="inlineStr"/>
    </row>
    <row r="468" ht="15" customHeight="1">
      <c r="A468" t="inlineStr">
        <is>
          <t>A 34172-2024</t>
        </is>
      </c>
      <c r="B468" s="1" t="n">
        <v>45524</v>
      </c>
      <c r="C468" s="1" t="n">
        <v>46035</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43434-2025</t>
        </is>
      </c>
      <c r="B469" s="1" t="n">
        <v>45911.42743055556</v>
      </c>
      <c r="C469" s="1" t="n">
        <v>46035</v>
      </c>
      <c r="D469" t="inlineStr">
        <is>
          <t>VÄRMLANDS LÄN</t>
        </is>
      </c>
      <c r="E469" t="inlineStr">
        <is>
          <t>ÅRJÄNG</t>
        </is>
      </c>
      <c r="G469" t="n">
        <v>2.3</v>
      </c>
      <c r="H469" t="n">
        <v>0</v>
      </c>
      <c r="I469" t="n">
        <v>0</v>
      </c>
      <c r="J469" t="n">
        <v>0</v>
      </c>
      <c r="K469" t="n">
        <v>0</v>
      </c>
      <c r="L469" t="n">
        <v>0</v>
      </c>
      <c r="M469" t="n">
        <v>0</v>
      </c>
      <c r="N469" t="n">
        <v>0</v>
      </c>
      <c r="O469" t="n">
        <v>0</v>
      </c>
      <c r="P469" t="n">
        <v>0</v>
      </c>
      <c r="Q469" t="n">
        <v>0</v>
      </c>
      <c r="R469" s="2" t="inlineStr"/>
    </row>
    <row r="470" ht="15" customHeight="1">
      <c r="A470" t="inlineStr">
        <is>
          <t>A 7700-2023</t>
        </is>
      </c>
      <c r="B470" s="1" t="n">
        <v>44967</v>
      </c>
      <c r="C470" s="1" t="n">
        <v>46035</v>
      </c>
      <c r="D470" t="inlineStr">
        <is>
          <t>VÄRMLANDS LÄN</t>
        </is>
      </c>
      <c r="E470" t="inlineStr">
        <is>
          <t>ÅRJÄNG</t>
        </is>
      </c>
      <c r="F470" t="inlineStr">
        <is>
          <t>Övriga Aktiebolag</t>
        </is>
      </c>
      <c r="G470" t="n">
        <v>4.3</v>
      </c>
      <c r="H470" t="n">
        <v>0</v>
      </c>
      <c r="I470" t="n">
        <v>0</v>
      </c>
      <c r="J470" t="n">
        <v>0</v>
      </c>
      <c r="K470" t="n">
        <v>0</v>
      </c>
      <c r="L470" t="n">
        <v>0</v>
      </c>
      <c r="M470" t="n">
        <v>0</v>
      </c>
      <c r="N470" t="n">
        <v>0</v>
      </c>
      <c r="O470" t="n">
        <v>0</v>
      </c>
      <c r="P470" t="n">
        <v>0</v>
      </c>
      <c r="Q470" t="n">
        <v>0</v>
      </c>
      <c r="R470" s="2" t="inlineStr"/>
    </row>
    <row r="471" ht="15" customHeight="1">
      <c r="A471" t="inlineStr">
        <is>
          <t>A 24983-2025</t>
        </is>
      </c>
      <c r="B471" s="1" t="n">
        <v>45799.59841435185</v>
      </c>
      <c r="C471" s="1" t="n">
        <v>46035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37356-2024</t>
        </is>
      </c>
      <c r="B472" s="1" t="n">
        <v>45540</v>
      </c>
      <c r="C472" s="1" t="n">
        <v>46035</v>
      </c>
      <c r="D472" t="inlineStr">
        <is>
          <t>VÄRMLANDS LÄN</t>
        </is>
      </c>
      <c r="E472" t="inlineStr">
        <is>
          <t>ÅRJÄNG</t>
        </is>
      </c>
      <c r="G472" t="n">
        <v>3.4</v>
      </c>
      <c r="H472" t="n">
        <v>0</v>
      </c>
      <c r="I472" t="n">
        <v>0</v>
      </c>
      <c r="J472" t="n">
        <v>0</v>
      </c>
      <c r="K472" t="n">
        <v>0</v>
      </c>
      <c r="L472" t="n">
        <v>0</v>
      </c>
      <c r="M472" t="n">
        <v>0</v>
      </c>
      <c r="N472" t="n">
        <v>0</v>
      </c>
      <c r="O472" t="n">
        <v>0</v>
      </c>
      <c r="P472" t="n">
        <v>0</v>
      </c>
      <c r="Q472" t="n">
        <v>0</v>
      </c>
      <c r="R472" s="2" t="inlineStr"/>
    </row>
    <row r="473" ht="15" customHeight="1">
      <c r="A473" t="inlineStr">
        <is>
          <t>A 44300-2025</t>
        </is>
      </c>
      <c r="B473" s="1" t="n">
        <v>45916.3702662037</v>
      </c>
      <c r="C473" s="1" t="n">
        <v>46035</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44452-2025</t>
        </is>
      </c>
      <c r="B474" s="1" t="n">
        <v>45916</v>
      </c>
      <c r="C474" s="1" t="n">
        <v>46035</v>
      </c>
      <c r="D474" t="inlineStr">
        <is>
          <t>VÄRMLANDS LÄN</t>
        </is>
      </c>
      <c r="E474" t="inlineStr">
        <is>
          <t>ÅRJÄNG</t>
        </is>
      </c>
      <c r="G474" t="n">
        <v>3.1</v>
      </c>
      <c r="H474" t="n">
        <v>0</v>
      </c>
      <c r="I474" t="n">
        <v>0</v>
      </c>
      <c r="J474" t="n">
        <v>0</v>
      </c>
      <c r="K474" t="n">
        <v>0</v>
      </c>
      <c r="L474" t="n">
        <v>0</v>
      </c>
      <c r="M474" t="n">
        <v>0</v>
      </c>
      <c r="N474" t="n">
        <v>0</v>
      </c>
      <c r="O474" t="n">
        <v>0</v>
      </c>
      <c r="P474" t="n">
        <v>0</v>
      </c>
      <c r="Q474" t="n">
        <v>0</v>
      </c>
      <c r="R474" s="2" t="inlineStr"/>
    </row>
    <row r="475" ht="15" customHeight="1">
      <c r="A475" t="inlineStr">
        <is>
          <t>A 68328-2021</t>
        </is>
      </c>
      <c r="B475" s="1" t="n">
        <v>44527.35875</v>
      </c>
      <c r="C475" s="1" t="n">
        <v>46035</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52741-2024</t>
        </is>
      </c>
      <c r="B476" s="1" t="n">
        <v>45610</v>
      </c>
      <c r="C476" s="1" t="n">
        <v>46035</v>
      </c>
      <c r="D476" t="inlineStr">
        <is>
          <t>VÄRMLANDS LÄN</t>
        </is>
      </c>
      <c r="E476" t="inlineStr">
        <is>
          <t>ÅRJÄNG</t>
        </is>
      </c>
      <c r="G476" t="n">
        <v>2.3</v>
      </c>
      <c r="H476" t="n">
        <v>0</v>
      </c>
      <c r="I476" t="n">
        <v>0</v>
      </c>
      <c r="J476" t="n">
        <v>0</v>
      </c>
      <c r="K476" t="n">
        <v>0</v>
      </c>
      <c r="L476" t="n">
        <v>0</v>
      </c>
      <c r="M476" t="n">
        <v>0</v>
      </c>
      <c r="N476" t="n">
        <v>0</v>
      </c>
      <c r="O476" t="n">
        <v>0</v>
      </c>
      <c r="P476" t="n">
        <v>0</v>
      </c>
      <c r="Q476" t="n">
        <v>0</v>
      </c>
      <c r="R476" s="2" t="inlineStr"/>
    </row>
    <row r="477" ht="15" customHeight="1">
      <c r="A477" t="inlineStr">
        <is>
          <t>A 44934-2024</t>
        </is>
      </c>
      <c r="B477" s="1" t="n">
        <v>45575</v>
      </c>
      <c r="C477" s="1" t="n">
        <v>46035</v>
      </c>
      <c r="D477" t="inlineStr">
        <is>
          <t>VÄRMLANDS LÄN</t>
        </is>
      </c>
      <c r="E477" t="inlineStr">
        <is>
          <t>ÅRJÄNG</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44456-2025</t>
        </is>
      </c>
      <c r="B478" s="1" t="n">
        <v>45916</v>
      </c>
      <c r="C478" s="1" t="n">
        <v>46035</v>
      </c>
      <c r="D478" t="inlineStr">
        <is>
          <t>VÄRMLANDS LÄN</t>
        </is>
      </c>
      <c r="E478" t="inlineStr">
        <is>
          <t>ÅRJÄNG</t>
        </is>
      </c>
      <c r="G478" t="n">
        <v>1.8</v>
      </c>
      <c r="H478" t="n">
        <v>0</v>
      </c>
      <c r="I478" t="n">
        <v>0</v>
      </c>
      <c r="J478" t="n">
        <v>0</v>
      </c>
      <c r="K478" t="n">
        <v>0</v>
      </c>
      <c r="L478" t="n">
        <v>0</v>
      </c>
      <c r="M478" t="n">
        <v>0</v>
      </c>
      <c r="N478" t="n">
        <v>0</v>
      </c>
      <c r="O478" t="n">
        <v>0</v>
      </c>
      <c r="P478" t="n">
        <v>0</v>
      </c>
      <c r="Q478" t="n">
        <v>0</v>
      </c>
      <c r="R478" s="2" t="inlineStr"/>
    </row>
    <row r="479" ht="15" customHeight="1">
      <c r="A479" t="inlineStr">
        <is>
          <t>A 43794-2024</t>
        </is>
      </c>
      <c r="B479" s="1" t="n">
        <v>45571.53519675926</v>
      </c>
      <c r="C479" s="1" t="n">
        <v>46035</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33738-2021</t>
        </is>
      </c>
      <c r="B480" s="1" t="n">
        <v>44378.48505787037</v>
      </c>
      <c r="C480" s="1" t="n">
        <v>46035</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44451-2025</t>
        </is>
      </c>
      <c r="B481" s="1" t="n">
        <v>45916</v>
      </c>
      <c r="C481" s="1" t="n">
        <v>46035</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38065-2024</t>
        </is>
      </c>
      <c r="B482" s="1" t="n">
        <v>45544.8249537037</v>
      </c>
      <c r="C482" s="1" t="n">
        <v>46035</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44924-2025</t>
        </is>
      </c>
      <c r="B483" s="1" t="n">
        <v>45918</v>
      </c>
      <c r="C483" s="1" t="n">
        <v>46035</v>
      </c>
      <c r="D483" t="inlineStr">
        <is>
          <t>VÄRMLANDS LÄN</t>
        </is>
      </c>
      <c r="E483" t="inlineStr">
        <is>
          <t>ÅRJÄNG</t>
        </is>
      </c>
      <c r="G483" t="n">
        <v>0.8</v>
      </c>
      <c r="H483" t="n">
        <v>0</v>
      </c>
      <c r="I483" t="n">
        <v>0</v>
      </c>
      <c r="J483" t="n">
        <v>0</v>
      </c>
      <c r="K483" t="n">
        <v>0</v>
      </c>
      <c r="L483" t="n">
        <v>0</v>
      </c>
      <c r="M483" t="n">
        <v>0</v>
      </c>
      <c r="N483" t="n">
        <v>0</v>
      </c>
      <c r="O483" t="n">
        <v>0</v>
      </c>
      <c r="P483" t="n">
        <v>0</v>
      </c>
      <c r="Q483" t="n">
        <v>0</v>
      </c>
      <c r="R483" s="2" t="inlineStr"/>
    </row>
    <row r="484" ht="15" customHeight="1">
      <c r="A484" t="inlineStr">
        <is>
          <t>A 44768-2025</t>
        </is>
      </c>
      <c r="B484" s="1" t="n">
        <v>45917.74274305555</v>
      </c>
      <c r="C484" s="1" t="n">
        <v>46035</v>
      </c>
      <c r="D484" t="inlineStr">
        <is>
          <t>VÄRMLANDS LÄN</t>
        </is>
      </c>
      <c r="E484" t="inlineStr">
        <is>
          <t>ÅRJÄNG</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9749-2024</t>
        </is>
      </c>
      <c r="B485" s="1" t="n">
        <v>45362</v>
      </c>
      <c r="C485" s="1" t="n">
        <v>46035</v>
      </c>
      <c r="D485" t="inlineStr">
        <is>
          <t>VÄRMLANDS LÄN</t>
        </is>
      </c>
      <c r="E485" t="inlineStr">
        <is>
          <t>ÅRJÄNG</t>
        </is>
      </c>
      <c r="F485" t="inlineStr">
        <is>
          <t>Kyrkan</t>
        </is>
      </c>
      <c r="G485" t="n">
        <v>0.5</v>
      </c>
      <c r="H485" t="n">
        <v>0</v>
      </c>
      <c r="I485" t="n">
        <v>0</v>
      </c>
      <c r="J485" t="n">
        <v>0</v>
      </c>
      <c r="K485" t="n">
        <v>0</v>
      </c>
      <c r="L485" t="n">
        <v>0</v>
      </c>
      <c r="M485" t="n">
        <v>0</v>
      </c>
      <c r="N485" t="n">
        <v>0</v>
      </c>
      <c r="O485" t="n">
        <v>0</v>
      </c>
      <c r="P485" t="n">
        <v>0</v>
      </c>
      <c r="Q485" t="n">
        <v>0</v>
      </c>
      <c r="R485" s="2" t="inlineStr"/>
    </row>
    <row r="486" ht="15" customHeight="1">
      <c r="A486" t="inlineStr">
        <is>
          <t>A 8614-2023</t>
        </is>
      </c>
      <c r="B486" s="1" t="n">
        <v>44977</v>
      </c>
      <c r="C486" s="1" t="n">
        <v>46035</v>
      </c>
      <c r="D486" t="inlineStr">
        <is>
          <t>VÄRMLANDS LÄN</t>
        </is>
      </c>
      <c r="E486" t="inlineStr">
        <is>
          <t>ÅRJÄNG</t>
        </is>
      </c>
      <c r="G486" t="n">
        <v>3.8</v>
      </c>
      <c r="H486" t="n">
        <v>0</v>
      </c>
      <c r="I486" t="n">
        <v>0</v>
      </c>
      <c r="J486" t="n">
        <v>0</v>
      </c>
      <c r="K486" t="n">
        <v>0</v>
      </c>
      <c r="L486" t="n">
        <v>0</v>
      </c>
      <c r="M486" t="n">
        <v>0</v>
      </c>
      <c r="N486" t="n">
        <v>0</v>
      </c>
      <c r="O486" t="n">
        <v>0</v>
      </c>
      <c r="P486" t="n">
        <v>0</v>
      </c>
      <c r="Q486" t="n">
        <v>0</v>
      </c>
      <c r="R486" s="2" t="inlineStr"/>
    </row>
    <row r="487" ht="15" customHeight="1">
      <c r="A487" t="inlineStr">
        <is>
          <t>A 1571-2025</t>
        </is>
      </c>
      <c r="B487" s="1" t="n">
        <v>45670.55496527778</v>
      </c>
      <c r="C487" s="1" t="n">
        <v>46035</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45037-2025</t>
        </is>
      </c>
      <c r="B488" s="1" t="n">
        <v>45918</v>
      </c>
      <c r="C488" s="1" t="n">
        <v>46035</v>
      </c>
      <c r="D488" t="inlineStr">
        <is>
          <t>VÄRMLANDS LÄN</t>
        </is>
      </c>
      <c r="E488" t="inlineStr">
        <is>
          <t>ÅRJÄNG</t>
        </is>
      </c>
      <c r="G488" t="n">
        <v>8.5</v>
      </c>
      <c r="H488" t="n">
        <v>0</v>
      </c>
      <c r="I488" t="n">
        <v>0</v>
      </c>
      <c r="J488" t="n">
        <v>0</v>
      </c>
      <c r="K488" t="n">
        <v>0</v>
      </c>
      <c r="L488" t="n">
        <v>0</v>
      </c>
      <c r="M488" t="n">
        <v>0</v>
      </c>
      <c r="N488" t="n">
        <v>0</v>
      </c>
      <c r="O488" t="n">
        <v>0</v>
      </c>
      <c r="P488" t="n">
        <v>0</v>
      </c>
      <c r="Q488" t="n">
        <v>0</v>
      </c>
      <c r="R488" s="2" t="inlineStr"/>
    </row>
    <row r="489" ht="15" customHeight="1">
      <c r="A489" t="inlineStr">
        <is>
          <t>A 40458-2023</t>
        </is>
      </c>
      <c r="B489" s="1" t="n">
        <v>45170.32993055556</v>
      </c>
      <c r="C489" s="1" t="n">
        <v>46035</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44956-2025</t>
        </is>
      </c>
      <c r="B490" s="1" t="n">
        <v>45918.61452546297</v>
      </c>
      <c r="C490" s="1" t="n">
        <v>46035</v>
      </c>
      <c r="D490" t="inlineStr">
        <is>
          <t>VÄRMLANDS LÄN</t>
        </is>
      </c>
      <c r="E490" t="inlineStr">
        <is>
          <t>ÅRJÄNG</t>
        </is>
      </c>
      <c r="G490" t="n">
        <v>3.7</v>
      </c>
      <c r="H490" t="n">
        <v>0</v>
      </c>
      <c r="I490" t="n">
        <v>0</v>
      </c>
      <c r="J490" t="n">
        <v>0</v>
      </c>
      <c r="K490" t="n">
        <v>0</v>
      </c>
      <c r="L490" t="n">
        <v>0</v>
      </c>
      <c r="M490" t="n">
        <v>0</v>
      </c>
      <c r="N490" t="n">
        <v>0</v>
      </c>
      <c r="O490" t="n">
        <v>0</v>
      </c>
      <c r="P490" t="n">
        <v>0</v>
      </c>
      <c r="Q490" t="n">
        <v>0</v>
      </c>
      <c r="R490" s="2" t="inlineStr"/>
    </row>
    <row r="491" ht="15" customHeight="1">
      <c r="A491" t="inlineStr">
        <is>
          <t>A 16010-2024</t>
        </is>
      </c>
      <c r="B491" s="1" t="n">
        <v>45405</v>
      </c>
      <c r="C491" s="1" t="n">
        <v>46035</v>
      </c>
      <c r="D491" t="inlineStr">
        <is>
          <t>VÄRMLANDS LÄN</t>
        </is>
      </c>
      <c r="E491" t="inlineStr">
        <is>
          <t>ÅRJÄNG</t>
        </is>
      </c>
      <c r="G491" t="n">
        <v>4.6</v>
      </c>
      <c r="H491" t="n">
        <v>0</v>
      </c>
      <c r="I491" t="n">
        <v>0</v>
      </c>
      <c r="J491" t="n">
        <v>0</v>
      </c>
      <c r="K491" t="n">
        <v>0</v>
      </c>
      <c r="L491" t="n">
        <v>0</v>
      </c>
      <c r="M491" t="n">
        <v>0</v>
      </c>
      <c r="N491" t="n">
        <v>0</v>
      </c>
      <c r="O491" t="n">
        <v>0</v>
      </c>
      <c r="P491" t="n">
        <v>0</v>
      </c>
      <c r="Q491" t="n">
        <v>0</v>
      </c>
      <c r="R491" s="2" t="inlineStr"/>
    </row>
    <row r="492" ht="15" customHeight="1">
      <c r="A492" t="inlineStr">
        <is>
          <t>A 45099-2025</t>
        </is>
      </c>
      <c r="B492" s="1" t="n">
        <v>45919</v>
      </c>
      <c r="C492" s="1" t="n">
        <v>46035</v>
      </c>
      <c r="D492" t="inlineStr">
        <is>
          <t>VÄRMLANDS LÄN</t>
        </is>
      </c>
      <c r="E492" t="inlineStr">
        <is>
          <t>ÅRJÄNG</t>
        </is>
      </c>
      <c r="F492" t="inlineStr">
        <is>
          <t>Övriga Aktiebolag</t>
        </is>
      </c>
      <c r="G492" t="n">
        <v>4.7</v>
      </c>
      <c r="H492" t="n">
        <v>0</v>
      </c>
      <c r="I492" t="n">
        <v>0</v>
      </c>
      <c r="J492" t="n">
        <v>0</v>
      </c>
      <c r="K492" t="n">
        <v>0</v>
      </c>
      <c r="L492" t="n">
        <v>0</v>
      </c>
      <c r="M492" t="n">
        <v>0</v>
      </c>
      <c r="N492" t="n">
        <v>0</v>
      </c>
      <c r="O492" t="n">
        <v>0</v>
      </c>
      <c r="P492" t="n">
        <v>0</v>
      </c>
      <c r="Q492" t="n">
        <v>0</v>
      </c>
      <c r="R492" s="2" t="inlineStr"/>
    </row>
    <row r="493" ht="15" customHeight="1">
      <c r="A493" t="inlineStr">
        <is>
          <t>A 62966-2023</t>
        </is>
      </c>
      <c r="B493" s="1" t="n">
        <v>45272.57006944445</v>
      </c>
      <c r="C493" s="1" t="n">
        <v>46035</v>
      </c>
      <c r="D493" t="inlineStr">
        <is>
          <t>VÄRMLANDS LÄN</t>
        </is>
      </c>
      <c r="E493" t="inlineStr">
        <is>
          <t>ÅRJÄNG</t>
        </is>
      </c>
      <c r="G493" t="n">
        <v>4.5</v>
      </c>
      <c r="H493" t="n">
        <v>0</v>
      </c>
      <c r="I493" t="n">
        <v>0</v>
      </c>
      <c r="J493" t="n">
        <v>0</v>
      </c>
      <c r="K493" t="n">
        <v>0</v>
      </c>
      <c r="L493" t="n">
        <v>0</v>
      </c>
      <c r="M493" t="n">
        <v>0</v>
      </c>
      <c r="N493" t="n">
        <v>0</v>
      </c>
      <c r="O493" t="n">
        <v>0</v>
      </c>
      <c r="P493" t="n">
        <v>0</v>
      </c>
      <c r="Q493" t="n">
        <v>0</v>
      </c>
      <c r="R493" s="2" t="inlineStr"/>
    </row>
    <row r="494" ht="15" customHeight="1">
      <c r="A494" t="inlineStr">
        <is>
          <t>A 45130-2025</t>
        </is>
      </c>
      <c r="B494" s="1" t="n">
        <v>45919</v>
      </c>
      <c r="C494" s="1" t="n">
        <v>46035</v>
      </c>
      <c r="D494" t="inlineStr">
        <is>
          <t>VÄRMLANDS LÄN</t>
        </is>
      </c>
      <c r="E494" t="inlineStr">
        <is>
          <t>ÅRJÄNG</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45161-2025</t>
        </is>
      </c>
      <c r="B495" s="1" t="n">
        <v>45919</v>
      </c>
      <c r="C495" s="1" t="n">
        <v>46035</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1200-2023</t>
        </is>
      </c>
      <c r="B496" s="1" t="n">
        <v>44935</v>
      </c>
      <c r="C496" s="1" t="n">
        <v>46035</v>
      </c>
      <c r="D496" t="inlineStr">
        <is>
          <t>VÄRMLANDS LÄN</t>
        </is>
      </c>
      <c r="E496" t="inlineStr">
        <is>
          <t>ÅRJÄNG</t>
        </is>
      </c>
      <c r="G496" t="n">
        <v>1.5</v>
      </c>
      <c r="H496" t="n">
        <v>0</v>
      </c>
      <c r="I496" t="n">
        <v>0</v>
      </c>
      <c r="J496" t="n">
        <v>0</v>
      </c>
      <c r="K496" t="n">
        <v>0</v>
      </c>
      <c r="L496" t="n">
        <v>0</v>
      </c>
      <c r="M496" t="n">
        <v>0</v>
      </c>
      <c r="N496" t="n">
        <v>0</v>
      </c>
      <c r="O496" t="n">
        <v>0</v>
      </c>
      <c r="P496" t="n">
        <v>0</v>
      </c>
      <c r="Q496" t="n">
        <v>0</v>
      </c>
      <c r="R496" s="2" t="inlineStr"/>
    </row>
    <row r="497" ht="15" customHeight="1">
      <c r="A497" t="inlineStr">
        <is>
          <t>A 45137-2025</t>
        </is>
      </c>
      <c r="B497" s="1" t="n">
        <v>45919</v>
      </c>
      <c r="C497" s="1" t="n">
        <v>46035</v>
      </c>
      <c r="D497" t="inlineStr">
        <is>
          <t>VÄRMLANDS LÄN</t>
        </is>
      </c>
      <c r="E497" t="inlineStr">
        <is>
          <t>ÅRJÄNG</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45332-2025</t>
        </is>
      </c>
      <c r="B498" s="1" t="n">
        <v>45922</v>
      </c>
      <c r="C498" s="1" t="n">
        <v>46035</v>
      </c>
      <c r="D498" t="inlineStr">
        <is>
          <t>VÄRMLANDS LÄN</t>
        </is>
      </c>
      <c r="E498" t="inlineStr">
        <is>
          <t>ÅRJÄNG</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45329-2025</t>
        </is>
      </c>
      <c r="B499" s="1" t="n">
        <v>45922</v>
      </c>
      <c r="C499" s="1" t="n">
        <v>46035</v>
      </c>
      <c r="D499" t="inlineStr">
        <is>
          <t>VÄRMLANDS LÄN</t>
        </is>
      </c>
      <c r="E499" t="inlineStr">
        <is>
          <t>ÅRJÄNG</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45524-2025</t>
        </is>
      </c>
      <c r="B500" s="1" t="n">
        <v>45922</v>
      </c>
      <c r="C500" s="1" t="n">
        <v>46035</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45192-2025</t>
        </is>
      </c>
      <c r="B501" s="1" t="n">
        <v>45919</v>
      </c>
      <c r="C501" s="1" t="n">
        <v>46035</v>
      </c>
      <c r="D501" t="inlineStr">
        <is>
          <t>VÄRMLANDS LÄN</t>
        </is>
      </c>
      <c r="E501" t="inlineStr">
        <is>
          <t>ÅRJÄNG</t>
        </is>
      </c>
      <c r="F501" t="inlineStr">
        <is>
          <t>Bergvik skog väst AB</t>
        </is>
      </c>
      <c r="G501" t="n">
        <v>3.8</v>
      </c>
      <c r="H501" t="n">
        <v>0</v>
      </c>
      <c r="I501" t="n">
        <v>0</v>
      </c>
      <c r="J501" t="n">
        <v>0</v>
      </c>
      <c r="K501" t="n">
        <v>0</v>
      </c>
      <c r="L501" t="n">
        <v>0</v>
      </c>
      <c r="M501" t="n">
        <v>0</v>
      </c>
      <c r="N501" t="n">
        <v>0</v>
      </c>
      <c r="O501" t="n">
        <v>0</v>
      </c>
      <c r="P501" t="n">
        <v>0</v>
      </c>
      <c r="Q501" t="n">
        <v>0</v>
      </c>
      <c r="R501" s="2" t="inlineStr"/>
    </row>
    <row r="502" ht="15" customHeight="1">
      <c r="A502" t="inlineStr">
        <is>
          <t>A 45515-2025</t>
        </is>
      </c>
      <c r="B502" s="1" t="n">
        <v>45922</v>
      </c>
      <c r="C502" s="1" t="n">
        <v>46035</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45590-2025</t>
        </is>
      </c>
      <c r="B503" s="1" t="n">
        <v>45922</v>
      </c>
      <c r="C503" s="1" t="n">
        <v>46035</v>
      </c>
      <c r="D503" t="inlineStr">
        <is>
          <t>VÄRMLANDS LÄN</t>
        </is>
      </c>
      <c r="E503" t="inlineStr">
        <is>
          <t>ÅRJÄNG</t>
        </is>
      </c>
      <c r="G503" t="n">
        <v>3.2</v>
      </c>
      <c r="H503" t="n">
        <v>0</v>
      </c>
      <c r="I503" t="n">
        <v>0</v>
      </c>
      <c r="J503" t="n">
        <v>0</v>
      </c>
      <c r="K503" t="n">
        <v>0</v>
      </c>
      <c r="L503" t="n">
        <v>0</v>
      </c>
      <c r="M503" t="n">
        <v>0</v>
      </c>
      <c r="N503" t="n">
        <v>0</v>
      </c>
      <c r="O503" t="n">
        <v>0</v>
      </c>
      <c r="P503" t="n">
        <v>0</v>
      </c>
      <c r="Q503" t="n">
        <v>0</v>
      </c>
      <c r="R503" s="2" t="inlineStr"/>
    </row>
    <row r="504" ht="15" customHeight="1">
      <c r="A504" t="inlineStr">
        <is>
          <t>A 45599-2025</t>
        </is>
      </c>
      <c r="B504" s="1" t="n">
        <v>45922</v>
      </c>
      <c r="C504" s="1" t="n">
        <v>46035</v>
      </c>
      <c r="D504" t="inlineStr">
        <is>
          <t>VÄRMLANDS LÄN</t>
        </is>
      </c>
      <c r="E504" t="inlineStr">
        <is>
          <t>ÅRJÄNG</t>
        </is>
      </c>
      <c r="G504" t="n">
        <v>6.7</v>
      </c>
      <c r="H504" t="n">
        <v>0</v>
      </c>
      <c r="I504" t="n">
        <v>0</v>
      </c>
      <c r="J504" t="n">
        <v>0</v>
      </c>
      <c r="K504" t="n">
        <v>0</v>
      </c>
      <c r="L504" t="n">
        <v>0</v>
      </c>
      <c r="M504" t="n">
        <v>0</v>
      </c>
      <c r="N504" t="n">
        <v>0</v>
      </c>
      <c r="O504" t="n">
        <v>0</v>
      </c>
      <c r="P504" t="n">
        <v>0</v>
      </c>
      <c r="Q504" t="n">
        <v>0</v>
      </c>
      <c r="R504" s="2" t="inlineStr"/>
    </row>
    <row r="505" ht="15" customHeight="1">
      <c r="A505" t="inlineStr">
        <is>
          <t>A 45203-2025</t>
        </is>
      </c>
      <c r="B505" s="1" t="n">
        <v>45919</v>
      </c>
      <c r="C505" s="1" t="n">
        <v>46035</v>
      </c>
      <c r="D505" t="inlineStr">
        <is>
          <t>VÄRMLANDS LÄN</t>
        </is>
      </c>
      <c r="E505" t="inlineStr">
        <is>
          <t>ÅRJÄNG</t>
        </is>
      </c>
      <c r="G505" t="n">
        <v>0.8</v>
      </c>
      <c r="H505" t="n">
        <v>0</v>
      </c>
      <c r="I505" t="n">
        <v>0</v>
      </c>
      <c r="J505" t="n">
        <v>0</v>
      </c>
      <c r="K505" t="n">
        <v>0</v>
      </c>
      <c r="L505" t="n">
        <v>0</v>
      </c>
      <c r="M505" t="n">
        <v>0</v>
      </c>
      <c r="N505" t="n">
        <v>0</v>
      </c>
      <c r="O505" t="n">
        <v>0</v>
      </c>
      <c r="P505" t="n">
        <v>0</v>
      </c>
      <c r="Q505" t="n">
        <v>0</v>
      </c>
      <c r="R505" s="2" t="inlineStr"/>
    </row>
    <row r="506" ht="15" customHeight="1">
      <c r="A506" t="inlineStr">
        <is>
          <t>A 40628-2024</t>
        </is>
      </c>
      <c r="B506" s="1" t="n">
        <v>45557.61668981481</v>
      </c>
      <c r="C506" s="1" t="n">
        <v>46035</v>
      </c>
      <c r="D506" t="inlineStr">
        <is>
          <t>VÄRMLANDS LÄN</t>
        </is>
      </c>
      <c r="E506" t="inlineStr">
        <is>
          <t>ÅRJÄNG</t>
        </is>
      </c>
      <c r="G506" t="n">
        <v>3.3</v>
      </c>
      <c r="H506" t="n">
        <v>0</v>
      </c>
      <c r="I506" t="n">
        <v>0</v>
      </c>
      <c r="J506" t="n">
        <v>0</v>
      </c>
      <c r="K506" t="n">
        <v>0</v>
      </c>
      <c r="L506" t="n">
        <v>0</v>
      </c>
      <c r="M506" t="n">
        <v>0</v>
      </c>
      <c r="N506" t="n">
        <v>0</v>
      </c>
      <c r="O506" t="n">
        <v>0</v>
      </c>
      <c r="P506" t="n">
        <v>0</v>
      </c>
      <c r="Q506" t="n">
        <v>0</v>
      </c>
      <c r="R506" s="2" t="inlineStr"/>
    </row>
    <row r="507" ht="15" customHeight="1">
      <c r="A507" t="inlineStr">
        <is>
          <t>A 45159-2025</t>
        </is>
      </c>
      <c r="B507" s="1" t="n">
        <v>45919</v>
      </c>
      <c r="C507" s="1" t="n">
        <v>46035</v>
      </c>
      <c r="D507" t="inlineStr">
        <is>
          <t>VÄRMLANDS LÄN</t>
        </is>
      </c>
      <c r="E507" t="inlineStr">
        <is>
          <t>ÅRJÄNG</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45162-2025</t>
        </is>
      </c>
      <c r="B508" s="1" t="n">
        <v>45919</v>
      </c>
      <c r="C508" s="1" t="n">
        <v>46035</v>
      </c>
      <c r="D508" t="inlineStr">
        <is>
          <t>VÄRMLANDS LÄN</t>
        </is>
      </c>
      <c r="E508" t="inlineStr">
        <is>
          <t>ÅRJÄNG</t>
        </is>
      </c>
      <c r="G508" t="n">
        <v>3.3</v>
      </c>
      <c r="H508" t="n">
        <v>0</v>
      </c>
      <c r="I508" t="n">
        <v>0</v>
      </c>
      <c r="J508" t="n">
        <v>0</v>
      </c>
      <c r="K508" t="n">
        <v>0</v>
      </c>
      <c r="L508" t="n">
        <v>0</v>
      </c>
      <c r="M508" t="n">
        <v>0</v>
      </c>
      <c r="N508" t="n">
        <v>0</v>
      </c>
      <c r="O508" t="n">
        <v>0</v>
      </c>
      <c r="P508" t="n">
        <v>0</v>
      </c>
      <c r="Q508" t="n">
        <v>0</v>
      </c>
      <c r="R508" s="2" t="inlineStr"/>
    </row>
    <row r="509" ht="15" customHeight="1">
      <c r="A509" t="inlineStr">
        <is>
          <t>A 45581-2025</t>
        </is>
      </c>
      <c r="B509" s="1" t="n">
        <v>45922</v>
      </c>
      <c r="C509" s="1" t="n">
        <v>46035</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45411-2025</t>
        </is>
      </c>
      <c r="B510" s="1" t="n">
        <v>45922</v>
      </c>
      <c r="C510" s="1" t="n">
        <v>46035</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5106-2023</t>
        </is>
      </c>
      <c r="B511" s="1" t="n">
        <v>44953</v>
      </c>
      <c r="C511" s="1" t="n">
        <v>46035</v>
      </c>
      <c r="D511" t="inlineStr">
        <is>
          <t>VÄRMLANDS LÄN</t>
        </is>
      </c>
      <c r="E511" t="inlineStr">
        <is>
          <t>ÅRJÄNG</t>
        </is>
      </c>
      <c r="G511" t="n">
        <v>0.6</v>
      </c>
      <c r="H511" t="n">
        <v>0</v>
      </c>
      <c r="I511" t="n">
        <v>0</v>
      </c>
      <c r="J511" t="n">
        <v>0</v>
      </c>
      <c r="K511" t="n">
        <v>0</v>
      </c>
      <c r="L511" t="n">
        <v>0</v>
      </c>
      <c r="M511" t="n">
        <v>0</v>
      </c>
      <c r="N511" t="n">
        <v>0</v>
      </c>
      <c r="O511" t="n">
        <v>0</v>
      </c>
      <c r="P511" t="n">
        <v>0</v>
      </c>
      <c r="Q511" t="n">
        <v>0</v>
      </c>
      <c r="R511" s="2" t="inlineStr"/>
    </row>
    <row r="512" ht="15" customHeight="1">
      <c r="A512" t="inlineStr">
        <is>
          <t>A 45166-2025</t>
        </is>
      </c>
      <c r="B512" s="1" t="n">
        <v>45919</v>
      </c>
      <c r="C512" s="1" t="n">
        <v>46035</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44257-2025</t>
        </is>
      </c>
      <c r="B513" s="1" t="n">
        <v>45915</v>
      </c>
      <c r="C513" s="1" t="n">
        <v>46035</v>
      </c>
      <c r="D513" t="inlineStr">
        <is>
          <t>VÄRMLANDS LÄN</t>
        </is>
      </c>
      <c r="E513" t="inlineStr">
        <is>
          <t>ÅRJÄNG</t>
        </is>
      </c>
      <c r="G513" t="n">
        <v>3.6</v>
      </c>
      <c r="H513" t="n">
        <v>0</v>
      </c>
      <c r="I513" t="n">
        <v>0</v>
      </c>
      <c r="J513" t="n">
        <v>0</v>
      </c>
      <c r="K513" t="n">
        <v>0</v>
      </c>
      <c r="L513" t="n">
        <v>0</v>
      </c>
      <c r="M513" t="n">
        <v>0</v>
      </c>
      <c r="N513" t="n">
        <v>0</v>
      </c>
      <c r="O513" t="n">
        <v>0</v>
      </c>
      <c r="P513" t="n">
        <v>0</v>
      </c>
      <c r="Q513" t="n">
        <v>0</v>
      </c>
      <c r="R513" s="2" t="inlineStr"/>
    </row>
    <row r="514" ht="15" customHeight="1">
      <c r="A514" t="inlineStr">
        <is>
          <t>A 15951-2025</t>
        </is>
      </c>
      <c r="B514" s="1" t="n">
        <v>45749</v>
      </c>
      <c r="C514" s="1" t="n">
        <v>46035</v>
      </c>
      <c r="D514" t="inlineStr">
        <is>
          <t>VÄRMLANDS LÄN</t>
        </is>
      </c>
      <c r="E514" t="inlineStr">
        <is>
          <t>ÅRJÄNG</t>
        </is>
      </c>
      <c r="F514" t="inlineStr">
        <is>
          <t>Bergvik skog väst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26258-2025</t>
        </is>
      </c>
      <c r="B515" s="1" t="n">
        <v>45805.58349537037</v>
      </c>
      <c r="C515" s="1" t="n">
        <v>46035</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5319-2025</t>
        </is>
      </c>
      <c r="B516" s="1" t="n">
        <v>45692.52384259259</v>
      </c>
      <c r="C516" s="1" t="n">
        <v>46035</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14710-2025</t>
        </is>
      </c>
      <c r="B517" s="1" t="n">
        <v>45742.60868055555</v>
      </c>
      <c r="C517" s="1" t="n">
        <v>46035</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15248-2025</t>
        </is>
      </c>
      <c r="B518" s="1" t="n">
        <v>45744</v>
      </c>
      <c r="C518" s="1" t="n">
        <v>46035</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12840-2025</t>
        </is>
      </c>
      <c r="B519" s="1" t="n">
        <v>45733</v>
      </c>
      <c r="C519" s="1" t="n">
        <v>46035</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8146-2024</t>
        </is>
      </c>
      <c r="B520" s="1" t="n">
        <v>45351.57671296296</v>
      </c>
      <c r="C520" s="1" t="n">
        <v>46035</v>
      </c>
      <c r="D520" t="inlineStr">
        <is>
          <t>VÄRMLANDS LÄN</t>
        </is>
      </c>
      <c r="E520" t="inlineStr">
        <is>
          <t>ÅRJÄNG</t>
        </is>
      </c>
      <c r="G520" t="n">
        <v>1.7</v>
      </c>
      <c r="H520" t="n">
        <v>0</v>
      </c>
      <c r="I520" t="n">
        <v>0</v>
      </c>
      <c r="J520" t="n">
        <v>0</v>
      </c>
      <c r="K520" t="n">
        <v>0</v>
      </c>
      <c r="L520" t="n">
        <v>0</v>
      </c>
      <c r="M520" t="n">
        <v>0</v>
      </c>
      <c r="N520" t="n">
        <v>0</v>
      </c>
      <c r="O520" t="n">
        <v>0</v>
      </c>
      <c r="P520" t="n">
        <v>0</v>
      </c>
      <c r="Q520" t="n">
        <v>0</v>
      </c>
      <c r="R520" s="2" t="inlineStr"/>
    </row>
    <row r="521" ht="15" customHeight="1">
      <c r="A521" t="inlineStr">
        <is>
          <t>A 26758-2025</t>
        </is>
      </c>
      <c r="B521" s="1" t="n">
        <v>45807</v>
      </c>
      <c r="C521" s="1" t="n">
        <v>46035</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8818-2022</t>
        </is>
      </c>
      <c r="B522" s="1" t="n">
        <v>44614.45849537037</v>
      </c>
      <c r="C522" s="1" t="n">
        <v>46035</v>
      </c>
      <c r="D522" t="inlineStr">
        <is>
          <t>VÄRMLANDS LÄN</t>
        </is>
      </c>
      <c r="E522" t="inlineStr">
        <is>
          <t>ÅRJÄNG</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4135-2025</t>
        </is>
      </c>
      <c r="B523" s="1" t="n">
        <v>45685</v>
      </c>
      <c r="C523" s="1" t="n">
        <v>46035</v>
      </c>
      <c r="D523" t="inlineStr">
        <is>
          <t>VÄRMLANDS LÄN</t>
        </is>
      </c>
      <c r="E523" t="inlineStr">
        <is>
          <t>ÅRJÄNG</t>
        </is>
      </c>
      <c r="G523" t="n">
        <v>4.4</v>
      </c>
      <c r="H523" t="n">
        <v>0</v>
      </c>
      <c r="I523" t="n">
        <v>0</v>
      </c>
      <c r="J523" t="n">
        <v>0</v>
      </c>
      <c r="K523" t="n">
        <v>0</v>
      </c>
      <c r="L523" t="n">
        <v>0</v>
      </c>
      <c r="M523" t="n">
        <v>0</v>
      </c>
      <c r="N523" t="n">
        <v>0</v>
      </c>
      <c r="O523" t="n">
        <v>0</v>
      </c>
      <c r="P523" t="n">
        <v>0</v>
      </c>
      <c r="Q523" t="n">
        <v>0</v>
      </c>
      <c r="R523" s="2" t="inlineStr"/>
    </row>
    <row r="524" ht="15" customHeight="1">
      <c r="A524" t="inlineStr">
        <is>
          <t>A 42233-2024</t>
        </is>
      </c>
      <c r="B524" s="1" t="n">
        <v>45562</v>
      </c>
      <c r="C524" s="1" t="n">
        <v>46035</v>
      </c>
      <c r="D524" t="inlineStr">
        <is>
          <t>VÄRMLANDS LÄN</t>
        </is>
      </c>
      <c r="E524" t="inlineStr">
        <is>
          <t>ÅRJÄNG</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34181-2024</t>
        </is>
      </c>
      <c r="B525" s="1" t="n">
        <v>45524</v>
      </c>
      <c r="C525" s="1" t="n">
        <v>46035</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34184-2024</t>
        </is>
      </c>
      <c r="B526" s="1" t="n">
        <v>45524</v>
      </c>
      <c r="C526" s="1" t="n">
        <v>46035</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49727-2025</t>
        </is>
      </c>
      <c r="B527" s="1" t="n">
        <v>45939</v>
      </c>
      <c r="C527" s="1" t="n">
        <v>46035</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26728-2025</t>
        </is>
      </c>
      <c r="B528" s="1" t="n">
        <v>45810.50186342592</v>
      </c>
      <c r="C528" s="1" t="n">
        <v>46035</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424-2025</t>
        </is>
      </c>
      <c r="B529" s="1" t="n">
        <v>45664</v>
      </c>
      <c r="C529" s="1" t="n">
        <v>46035</v>
      </c>
      <c r="D529" t="inlineStr">
        <is>
          <t>VÄRMLANDS LÄN</t>
        </is>
      </c>
      <c r="E529" t="inlineStr">
        <is>
          <t>ÅRJÄNG</t>
        </is>
      </c>
      <c r="G529" t="n">
        <v>1.8</v>
      </c>
      <c r="H529" t="n">
        <v>0</v>
      </c>
      <c r="I529" t="n">
        <v>0</v>
      </c>
      <c r="J529" t="n">
        <v>0</v>
      </c>
      <c r="K529" t="n">
        <v>0</v>
      </c>
      <c r="L529" t="n">
        <v>0</v>
      </c>
      <c r="M529" t="n">
        <v>0</v>
      </c>
      <c r="N529" t="n">
        <v>0</v>
      </c>
      <c r="O529" t="n">
        <v>0</v>
      </c>
      <c r="P529" t="n">
        <v>0</v>
      </c>
      <c r="Q529" t="n">
        <v>0</v>
      </c>
      <c r="R529" s="2" t="inlineStr"/>
    </row>
    <row r="530" ht="15" customHeight="1">
      <c r="A530" t="inlineStr">
        <is>
          <t>A 45907-2025</t>
        </is>
      </c>
      <c r="B530" s="1" t="n">
        <v>45923.70748842593</v>
      </c>
      <c r="C530" s="1" t="n">
        <v>46035</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45906-2025</t>
        </is>
      </c>
      <c r="B531" s="1" t="n">
        <v>45923.70627314815</v>
      </c>
      <c r="C531" s="1" t="n">
        <v>46035</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6559-2025</t>
        </is>
      </c>
      <c r="B532" s="1" t="n">
        <v>45699.73678240741</v>
      </c>
      <c r="C532" s="1" t="n">
        <v>46035</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24789-2024</t>
        </is>
      </c>
      <c r="B533" s="1" t="n">
        <v>45460</v>
      </c>
      <c r="C533" s="1" t="n">
        <v>46035</v>
      </c>
      <c r="D533" t="inlineStr">
        <is>
          <t>VÄRMLANDS LÄN</t>
        </is>
      </c>
      <c r="E533" t="inlineStr">
        <is>
          <t>ÅRJÄNG</t>
        </is>
      </c>
      <c r="G533" t="n">
        <v>1.7</v>
      </c>
      <c r="H533" t="n">
        <v>0</v>
      </c>
      <c r="I533" t="n">
        <v>0</v>
      </c>
      <c r="J533" t="n">
        <v>0</v>
      </c>
      <c r="K533" t="n">
        <v>0</v>
      </c>
      <c r="L533" t="n">
        <v>0</v>
      </c>
      <c r="M533" t="n">
        <v>0</v>
      </c>
      <c r="N533" t="n">
        <v>0</v>
      </c>
      <c r="O533" t="n">
        <v>0</v>
      </c>
      <c r="P533" t="n">
        <v>0</v>
      </c>
      <c r="Q533" t="n">
        <v>0</v>
      </c>
      <c r="R533" s="2" t="inlineStr"/>
    </row>
    <row r="534" ht="15" customHeight="1">
      <c r="A534" t="inlineStr">
        <is>
          <t>A 49436-2025</t>
        </is>
      </c>
      <c r="B534" s="1" t="n">
        <v>45938.87913194444</v>
      </c>
      <c r="C534" s="1" t="n">
        <v>46035</v>
      </c>
      <c r="D534" t="inlineStr">
        <is>
          <t>VÄRMLANDS LÄN</t>
        </is>
      </c>
      <c r="E534" t="inlineStr">
        <is>
          <t>ÅRJÄNG</t>
        </is>
      </c>
      <c r="G534" t="n">
        <v>13.9</v>
      </c>
      <c r="H534" t="n">
        <v>0</v>
      </c>
      <c r="I534" t="n">
        <v>0</v>
      </c>
      <c r="J534" t="n">
        <v>0</v>
      </c>
      <c r="K534" t="n">
        <v>0</v>
      </c>
      <c r="L534" t="n">
        <v>0</v>
      </c>
      <c r="M534" t="n">
        <v>0</v>
      </c>
      <c r="N534" t="n">
        <v>0</v>
      </c>
      <c r="O534" t="n">
        <v>0</v>
      </c>
      <c r="P534" t="n">
        <v>0</v>
      </c>
      <c r="Q534" t="n">
        <v>0</v>
      </c>
      <c r="R534" s="2" t="inlineStr"/>
    </row>
    <row r="535" ht="15" customHeight="1">
      <c r="A535" t="inlineStr">
        <is>
          <t>A 49439-2025</t>
        </is>
      </c>
      <c r="B535" s="1" t="n">
        <v>45938.88315972222</v>
      </c>
      <c r="C535" s="1" t="n">
        <v>46035</v>
      </c>
      <c r="D535" t="inlineStr">
        <is>
          <t>VÄRMLANDS LÄN</t>
        </is>
      </c>
      <c r="E535" t="inlineStr">
        <is>
          <t>ÅRJÄNG</t>
        </is>
      </c>
      <c r="G535" t="n">
        <v>2.3</v>
      </c>
      <c r="H535" t="n">
        <v>0</v>
      </c>
      <c r="I535" t="n">
        <v>0</v>
      </c>
      <c r="J535" t="n">
        <v>0</v>
      </c>
      <c r="K535" t="n">
        <v>0</v>
      </c>
      <c r="L535" t="n">
        <v>0</v>
      </c>
      <c r="M535" t="n">
        <v>0</v>
      </c>
      <c r="N535" t="n">
        <v>0</v>
      </c>
      <c r="O535" t="n">
        <v>0</v>
      </c>
      <c r="P535" t="n">
        <v>0</v>
      </c>
      <c r="Q535" t="n">
        <v>0</v>
      </c>
      <c r="R535" s="2" t="inlineStr"/>
    </row>
    <row r="536" ht="15" customHeight="1">
      <c r="A536" t="inlineStr">
        <is>
          <t>A 49728-2025</t>
        </is>
      </c>
      <c r="B536" s="1" t="n">
        <v>45939</v>
      </c>
      <c r="C536" s="1" t="n">
        <v>46035</v>
      </c>
      <c r="D536" t="inlineStr">
        <is>
          <t>VÄRMLANDS LÄN</t>
        </is>
      </c>
      <c r="E536" t="inlineStr">
        <is>
          <t>ÅRJÄNG</t>
        </is>
      </c>
      <c r="G536" t="n">
        <v>22</v>
      </c>
      <c r="H536" t="n">
        <v>0</v>
      </c>
      <c r="I536" t="n">
        <v>0</v>
      </c>
      <c r="J536" t="n">
        <v>0</v>
      </c>
      <c r="K536" t="n">
        <v>0</v>
      </c>
      <c r="L536" t="n">
        <v>0</v>
      </c>
      <c r="M536" t="n">
        <v>0</v>
      </c>
      <c r="N536" t="n">
        <v>0</v>
      </c>
      <c r="O536" t="n">
        <v>0</v>
      </c>
      <c r="P536" t="n">
        <v>0</v>
      </c>
      <c r="Q536" t="n">
        <v>0</v>
      </c>
      <c r="R536" s="2" t="inlineStr"/>
    </row>
    <row r="537" ht="15" customHeight="1">
      <c r="A537" t="inlineStr">
        <is>
          <t>A 46301-2025</t>
        </is>
      </c>
      <c r="B537" s="1" t="n">
        <v>45925.41553240741</v>
      </c>
      <c r="C537" s="1" t="n">
        <v>46035</v>
      </c>
      <c r="D537" t="inlineStr">
        <is>
          <t>VÄRMLANDS LÄN</t>
        </is>
      </c>
      <c r="E537" t="inlineStr">
        <is>
          <t>ÅRJÄNG</t>
        </is>
      </c>
      <c r="G537" t="n">
        <v>3.8</v>
      </c>
      <c r="H537" t="n">
        <v>0</v>
      </c>
      <c r="I537" t="n">
        <v>0</v>
      </c>
      <c r="J537" t="n">
        <v>0</v>
      </c>
      <c r="K537" t="n">
        <v>0</v>
      </c>
      <c r="L537" t="n">
        <v>0</v>
      </c>
      <c r="M537" t="n">
        <v>0</v>
      </c>
      <c r="N537" t="n">
        <v>0</v>
      </c>
      <c r="O537" t="n">
        <v>0</v>
      </c>
      <c r="P537" t="n">
        <v>0</v>
      </c>
      <c r="Q537" t="n">
        <v>0</v>
      </c>
      <c r="R537" s="2" t="inlineStr"/>
    </row>
    <row r="538" ht="15" customHeight="1">
      <c r="A538" t="inlineStr">
        <is>
          <t>A 49914-2025</t>
        </is>
      </c>
      <c r="B538" s="1" t="n">
        <v>45940.61268518519</v>
      </c>
      <c r="C538" s="1" t="n">
        <v>46035</v>
      </c>
      <c r="D538" t="inlineStr">
        <is>
          <t>VÄRMLANDS LÄN</t>
        </is>
      </c>
      <c r="E538" t="inlineStr">
        <is>
          <t>ÅRJÄNG</t>
        </is>
      </c>
      <c r="G538" t="n">
        <v>2</v>
      </c>
      <c r="H538" t="n">
        <v>0</v>
      </c>
      <c r="I538" t="n">
        <v>0</v>
      </c>
      <c r="J538" t="n">
        <v>0</v>
      </c>
      <c r="K538" t="n">
        <v>0</v>
      </c>
      <c r="L538" t="n">
        <v>0</v>
      </c>
      <c r="M538" t="n">
        <v>0</v>
      </c>
      <c r="N538" t="n">
        <v>0</v>
      </c>
      <c r="O538" t="n">
        <v>0</v>
      </c>
      <c r="P538" t="n">
        <v>0</v>
      </c>
      <c r="Q538" t="n">
        <v>0</v>
      </c>
      <c r="R538" s="2" t="inlineStr"/>
    </row>
    <row r="539" ht="15" customHeight="1">
      <c r="A539" t="inlineStr">
        <is>
          <t>A 46645-2025</t>
        </is>
      </c>
      <c r="B539" s="1" t="n">
        <v>45926.47527777778</v>
      </c>
      <c r="C539" s="1" t="n">
        <v>46035</v>
      </c>
      <c r="D539" t="inlineStr">
        <is>
          <t>VÄRMLANDS LÄN</t>
        </is>
      </c>
      <c r="E539" t="inlineStr">
        <is>
          <t>ÅRJÄNG</t>
        </is>
      </c>
      <c r="G539" t="n">
        <v>2.8</v>
      </c>
      <c r="H539" t="n">
        <v>0</v>
      </c>
      <c r="I539" t="n">
        <v>0</v>
      </c>
      <c r="J539" t="n">
        <v>0</v>
      </c>
      <c r="K539" t="n">
        <v>0</v>
      </c>
      <c r="L539" t="n">
        <v>0</v>
      </c>
      <c r="M539" t="n">
        <v>0</v>
      </c>
      <c r="N539" t="n">
        <v>0</v>
      </c>
      <c r="O539" t="n">
        <v>0</v>
      </c>
      <c r="P539" t="n">
        <v>0</v>
      </c>
      <c r="Q539" t="n">
        <v>0</v>
      </c>
      <c r="R539" s="2" t="inlineStr"/>
    </row>
    <row r="540" ht="15" customHeight="1">
      <c r="A540" t="inlineStr">
        <is>
          <t>A 55432-2024</t>
        </is>
      </c>
      <c r="B540" s="1" t="n">
        <v>45622</v>
      </c>
      <c r="C540" s="1" t="n">
        <v>46035</v>
      </c>
      <c r="D540" t="inlineStr">
        <is>
          <t>VÄRMLANDS LÄN</t>
        </is>
      </c>
      <c r="E540" t="inlineStr">
        <is>
          <t>ÅRJÄNG</t>
        </is>
      </c>
      <c r="G540" t="n">
        <v>6.9</v>
      </c>
      <c r="H540" t="n">
        <v>0</v>
      </c>
      <c r="I540" t="n">
        <v>0</v>
      </c>
      <c r="J540" t="n">
        <v>0</v>
      </c>
      <c r="K540" t="n">
        <v>0</v>
      </c>
      <c r="L540" t="n">
        <v>0</v>
      </c>
      <c r="M540" t="n">
        <v>0</v>
      </c>
      <c r="N540" t="n">
        <v>0</v>
      </c>
      <c r="O540" t="n">
        <v>0</v>
      </c>
      <c r="P540" t="n">
        <v>0</v>
      </c>
      <c r="Q540" t="n">
        <v>0</v>
      </c>
      <c r="R540" s="2" t="inlineStr"/>
    </row>
    <row r="541" ht="15" customHeight="1">
      <c r="A541" t="inlineStr">
        <is>
          <t>A 24971-2025</t>
        </is>
      </c>
      <c r="B541" s="1" t="n">
        <v>45799</v>
      </c>
      <c r="C541" s="1" t="n">
        <v>46035</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13196-2023</t>
        </is>
      </c>
      <c r="B542" s="1" t="n">
        <v>45002</v>
      </c>
      <c r="C542" s="1" t="n">
        <v>46035</v>
      </c>
      <c r="D542" t="inlineStr">
        <is>
          <t>VÄRMLANDS LÄN</t>
        </is>
      </c>
      <c r="E542" t="inlineStr">
        <is>
          <t>ÅRJÄNG</t>
        </is>
      </c>
      <c r="F542" t="inlineStr">
        <is>
          <t>Kyrkan</t>
        </is>
      </c>
      <c r="G542" t="n">
        <v>4.5</v>
      </c>
      <c r="H542" t="n">
        <v>0</v>
      </c>
      <c r="I542" t="n">
        <v>0</v>
      </c>
      <c r="J542" t="n">
        <v>0</v>
      </c>
      <c r="K542" t="n">
        <v>0</v>
      </c>
      <c r="L542" t="n">
        <v>0</v>
      </c>
      <c r="M542" t="n">
        <v>0</v>
      </c>
      <c r="N542" t="n">
        <v>0</v>
      </c>
      <c r="O542" t="n">
        <v>0</v>
      </c>
      <c r="P542" t="n">
        <v>0</v>
      </c>
      <c r="Q542" t="n">
        <v>0</v>
      </c>
      <c r="R542" s="2" t="inlineStr"/>
    </row>
    <row r="543" ht="15" customHeight="1">
      <c r="A543" t="inlineStr">
        <is>
          <t>A 51265-2024</t>
        </is>
      </c>
      <c r="B543" s="1" t="n">
        <v>45602</v>
      </c>
      <c r="C543" s="1" t="n">
        <v>46035</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4865-2024</t>
        </is>
      </c>
      <c r="B544" s="1" t="n">
        <v>45329</v>
      </c>
      <c r="C544" s="1" t="n">
        <v>46035</v>
      </c>
      <c r="D544" t="inlineStr">
        <is>
          <t>VÄRMLANDS LÄN</t>
        </is>
      </c>
      <c r="E544" t="inlineStr">
        <is>
          <t>ÅRJÄNG</t>
        </is>
      </c>
      <c r="G544" t="n">
        <v>0.8</v>
      </c>
      <c r="H544" t="n">
        <v>0</v>
      </c>
      <c r="I544" t="n">
        <v>0</v>
      </c>
      <c r="J544" t="n">
        <v>0</v>
      </c>
      <c r="K544" t="n">
        <v>0</v>
      </c>
      <c r="L544" t="n">
        <v>0</v>
      </c>
      <c r="M544" t="n">
        <v>0</v>
      </c>
      <c r="N544" t="n">
        <v>0</v>
      </c>
      <c r="O544" t="n">
        <v>0</v>
      </c>
      <c r="P544" t="n">
        <v>0</v>
      </c>
      <c r="Q544" t="n">
        <v>0</v>
      </c>
      <c r="R544" s="2" t="inlineStr"/>
    </row>
    <row r="545" ht="15" customHeight="1">
      <c r="A545" t="inlineStr">
        <is>
          <t>A 26783-2024</t>
        </is>
      </c>
      <c r="B545" s="1" t="n">
        <v>45470</v>
      </c>
      <c r="C545" s="1" t="n">
        <v>46035</v>
      </c>
      <c r="D545" t="inlineStr">
        <is>
          <t>VÄRMLANDS LÄN</t>
        </is>
      </c>
      <c r="E545" t="inlineStr">
        <is>
          <t>ÅRJÄNG</t>
        </is>
      </c>
      <c r="F545" t="inlineStr">
        <is>
          <t>Övriga Aktiebolag</t>
        </is>
      </c>
      <c r="G545" t="n">
        <v>1.6</v>
      </c>
      <c r="H545" t="n">
        <v>0</v>
      </c>
      <c r="I545" t="n">
        <v>0</v>
      </c>
      <c r="J545" t="n">
        <v>0</v>
      </c>
      <c r="K545" t="n">
        <v>0</v>
      </c>
      <c r="L545" t="n">
        <v>0</v>
      </c>
      <c r="M545" t="n">
        <v>0</v>
      </c>
      <c r="N545" t="n">
        <v>0</v>
      </c>
      <c r="O545" t="n">
        <v>0</v>
      </c>
      <c r="P545" t="n">
        <v>0</v>
      </c>
      <c r="Q545" t="n">
        <v>0</v>
      </c>
      <c r="R545" s="2" t="inlineStr"/>
    </row>
    <row r="546" ht="15" customHeight="1">
      <c r="A546" t="inlineStr">
        <is>
          <t>A 18718-2023</t>
        </is>
      </c>
      <c r="B546" s="1" t="n">
        <v>45043.65459490741</v>
      </c>
      <c r="C546" s="1" t="n">
        <v>46035</v>
      </c>
      <c r="D546" t="inlineStr">
        <is>
          <t>VÄRMLANDS LÄN</t>
        </is>
      </c>
      <c r="E546" t="inlineStr">
        <is>
          <t>ÅRJÄNG</t>
        </is>
      </c>
      <c r="G546" t="n">
        <v>1.8</v>
      </c>
      <c r="H546" t="n">
        <v>0</v>
      </c>
      <c r="I546" t="n">
        <v>0</v>
      </c>
      <c r="J546" t="n">
        <v>0</v>
      </c>
      <c r="K546" t="n">
        <v>0</v>
      </c>
      <c r="L546" t="n">
        <v>0</v>
      </c>
      <c r="M546" t="n">
        <v>0</v>
      </c>
      <c r="N546" t="n">
        <v>0</v>
      </c>
      <c r="O546" t="n">
        <v>0</v>
      </c>
      <c r="P546" t="n">
        <v>0</v>
      </c>
      <c r="Q546" t="n">
        <v>0</v>
      </c>
      <c r="R546" s="2" t="inlineStr"/>
    </row>
    <row r="547" ht="15" customHeight="1">
      <c r="A547" t="inlineStr">
        <is>
          <t>A 26434-2025</t>
        </is>
      </c>
      <c r="B547" s="1" t="n">
        <v>45807.39797453704</v>
      </c>
      <c r="C547" s="1" t="n">
        <v>46035</v>
      </c>
      <c r="D547" t="inlineStr">
        <is>
          <t>VÄRMLANDS LÄN</t>
        </is>
      </c>
      <c r="E547" t="inlineStr">
        <is>
          <t>ÅRJÄNG</t>
        </is>
      </c>
      <c r="G547" t="n">
        <v>2.2</v>
      </c>
      <c r="H547" t="n">
        <v>0</v>
      </c>
      <c r="I547" t="n">
        <v>0</v>
      </c>
      <c r="J547" t="n">
        <v>0</v>
      </c>
      <c r="K547" t="n">
        <v>0</v>
      </c>
      <c r="L547" t="n">
        <v>0</v>
      </c>
      <c r="M547" t="n">
        <v>0</v>
      </c>
      <c r="N547" t="n">
        <v>0</v>
      </c>
      <c r="O547" t="n">
        <v>0</v>
      </c>
      <c r="P547" t="n">
        <v>0</v>
      </c>
      <c r="Q547" t="n">
        <v>0</v>
      </c>
      <c r="R547" s="2" t="inlineStr"/>
    </row>
    <row r="548" ht="15" customHeight="1">
      <c r="A548" t="inlineStr">
        <is>
          <t>A 49441-2025</t>
        </is>
      </c>
      <c r="B548" s="1" t="n">
        <v>45938.88782407407</v>
      </c>
      <c r="C548" s="1" t="n">
        <v>46035</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49442-2025</t>
        </is>
      </c>
      <c r="B549" s="1" t="n">
        <v>45938.88975694445</v>
      </c>
      <c r="C549" s="1" t="n">
        <v>46035</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16613-2022</t>
        </is>
      </c>
      <c r="B550" s="1" t="n">
        <v>44672</v>
      </c>
      <c r="C550" s="1" t="n">
        <v>46035</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4137-2025</t>
        </is>
      </c>
      <c r="B551" s="1" t="n">
        <v>45685.35232638889</v>
      </c>
      <c r="C551" s="1" t="n">
        <v>46035</v>
      </c>
      <c r="D551" t="inlineStr">
        <is>
          <t>VÄRMLANDS LÄN</t>
        </is>
      </c>
      <c r="E551" t="inlineStr">
        <is>
          <t>ÅRJÄNG</t>
        </is>
      </c>
      <c r="G551" t="n">
        <v>3.3</v>
      </c>
      <c r="H551" t="n">
        <v>0</v>
      </c>
      <c r="I551" t="n">
        <v>0</v>
      </c>
      <c r="J551" t="n">
        <v>0</v>
      </c>
      <c r="K551" t="n">
        <v>0</v>
      </c>
      <c r="L551" t="n">
        <v>0</v>
      </c>
      <c r="M551" t="n">
        <v>0</v>
      </c>
      <c r="N551" t="n">
        <v>0</v>
      </c>
      <c r="O551" t="n">
        <v>0</v>
      </c>
      <c r="P551" t="n">
        <v>0</v>
      </c>
      <c r="Q551" t="n">
        <v>0</v>
      </c>
      <c r="R551" s="2" t="inlineStr"/>
    </row>
    <row r="552" ht="15" customHeight="1">
      <c r="A552" t="inlineStr">
        <is>
          <t>A 43517-2024</t>
        </is>
      </c>
      <c r="B552" s="1" t="n">
        <v>45569.32800925926</v>
      </c>
      <c r="C552" s="1" t="n">
        <v>46035</v>
      </c>
      <c r="D552" t="inlineStr">
        <is>
          <t>VÄRMLANDS LÄN</t>
        </is>
      </c>
      <c r="E552" t="inlineStr">
        <is>
          <t>ÅRJÄNG</t>
        </is>
      </c>
      <c r="G552" t="n">
        <v>5.9</v>
      </c>
      <c r="H552" t="n">
        <v>0</v>
      </c>
      <c r="I552" t="n">
        <v>0</v>
      </c>
      <c r="J552" t="n">
        <v>0</v>
      </c>
      <c r="K552" t="n">
        <v>0</v>
      </c>
      <c r="L552" t="n">
        <v>0</v>
      </c>
      <c r="M552" t="n">
        <v>0</v>
      </c>
      <c r="N552" t="n">
        <v>0</v>
      </c>
      <c r="O552" t="n">
        <v>0</v>
      </c>
      <c r="P552" t="n">
        <v>0</v>
      </c>
      <c r="Q552" t="n">
        <v>0</v>
      </c>
      <c r="R552" s="2" t="inlineStr"/>
    </row>
    <row r="553" ht="15" customHeight="1">
      <c r="A553" t="inlineStr">
        <is>
          <t>A 15323-2025</t>
        </is>
      </c>
      <c r="B553" s="1" t="n">
        <v>45747.32385416667</v>
      </c>
      <c r="C553" s="1" t="n">
        <v>46035</v>
      </c>
      <c r="D553" t="inlineStr">
        <is>
          <t>VÄRMLANDS LÄN</t>
        </is>
      </c>
      <c r="E553" t="inlineStr">
        <is>
          <t>ÅRJÄNG</t>
        </is>
      </c>
      <c r="G553" t="n">
        <v>5.5</v>
      </c>
      <c r="H553" t="n">
        <v>0</v>
      </c>
      <c r="I553" t="n">
        <v>0</v>
      </c>
      <c r="J553" t="n">
        <v>0</v>
      </c>
      <c r="K553" t="n">
        <v>0</v>
      </c>
      <c r="L553" t="n">
        <v>0</v>
      </c>
      <c r="M553" t="n">
        <v>0</v>
      </c>
      <c r="N553" t="n">
        <v>0</v>
      </c>
      <c r="O553" t="n">
        <v>0</v>
      </c>
      <c r="P553" t="n">
        <v>0</v>
      </c>
      <c r="Q553" t="n">
        <v>0</v>
      </c>
      <c r="R553" s="2" t="inlineStr"/>
    </row>
    <row r="554" ht="15" customHeight="1">
      <c r="A554" t="inlineStr">
        <is>
          <t>A 34387-2023</t>
        </is>
      </c>
      <c r="B554" s="1" t="n">
        <v>45139.50744212963</v>
      </c>
      <c r="C554" s="1" t="n">
        <v>46035</v>
      </c>
      <c r="D554" t="inlineStr">
        <is>
          <t>VÄRMLANDS LÄN</t>
        </is>
      </c>
      <c r="E554" t="inlineStr">
        <is>
          <t>ÅRJÄNG</t>
        </is>
      </c>
      <c r="G554" t="n">
        <v>2.6</v>
      </c>
      <c r="H554" t="n">
        <v>0</v>
      </c>
      <c r="I554" t="n">
        <v>0</v>
      </c>
      <c r="J554" t="n">
        <v>0</v>
      </c>
      <c r="K554" t="n">
        <v>0</v>
      </c>
      <c r="L554" t="n">
        <v>0</v>
      </c>
      <c r="M554" t="n">
        <v>0</v>
      </c>
      <c r="N554" t="n">
        <v>0</v>
      </c>
      <c r="O554" t="n">
        <v>0</v>
      </c>
      <c r="P554" t="n">
        <v>0</v>
      </c>
      <c r="Q554" t="n">
        <v>0</v>
      </c>
      <c r="R554" s="2" t="inlineStr"/>
    </row>
    <row r="555" ht="15" customHeight="1">
      <c r="A555" t="inlineStr">
        <is>
          <t>A 60909-2024</t>
        </is>
      </c>
      <c r="B555" s="1" t="n">
        <v>45645</v>
      </c>
      <c r="C555" s="1" t="n">
        <v>46035</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8357-2025</t>
        </is>
      </c>
      <c r="B556" s="1" t="n">
        <v>45708.79896990741</v>
      </c>
      <c r="C556" s="1" t="n">
        <v>46035</v>
      </c>
      <c r="D556" t="inlineStr">
        <is>
          <t>VÄRMLANDS LÄN</t>
        </is>
      </c>
      <c r="E556" t="inlineStr">
        <is>
          <t>ÅRJÄNG</t>
        </is>
      </c>
      <c r="G556" t="n">
        <v>3.4</v>
      </c>
      <c r="H556" t="n">
        <v>0</v>
      </c>
      <c r="I556" t="n">
        <v>0</v>
      </c>
      <c r="J556" t="n">
        <v>0</v>
      </c>
      <c r="K556" t="n">
        <v>0</v>
      </c>
      <c r="L556" t="n">
        <v>0</v>
      </c>
      <c r="M556" t="n">
        <v>0</v>
      </c>
      <c r="N556" t="n">
        <v>0</v>
      </c>
      <c r="O556" t="n">
        <v>0</v>
      </c>
      <c r="P556" t="n">
        <v>0</v>
      </c>
      <c r="Q556" t="n">
        <v>0</v>
      </c>
      <c r="R556" s="2" t="inlineStr"/>
    </row>
    <row r="557" ht="15" customHeight="1">
      <c r="A557" t="inlineStr">
        <is>
          <t>A 10321-2025</t>
        </is>
      </c>
      <c r="B557" s="1" t="n">
        <v>45720</v>
      </c>
      <c r="C557" s="1" t="n">
        <v>46035</v>
      </c>
      <c r="D557" t="inlineStr">
        <is>
          <t>VÄRMLANDS LÄN</t>
        </is>
      </c>
      <c r="E557" t="inlineStr">
        <is>
          <t>ÅRJÄNG</t>
        </is>
      </c>
      <c r="G557" t="n">
        <v>3.4</v>
      </c>
      <c r="H557" t="n">
        <v>0</v>
      </c>
      <c r="I557" t="n">
        <v>0</v>
      </c>
      <c r="J557" t="n">
        <v>0</v>
      </c>
      <c r="K557" t="n">
        <v>0</v>
      </c>
      <c r="L557" t="n">
        <v>0</v>
      </c>
      <c r="M557" t="n">
        <v>0</v>
      </c>
      <c r="N557" t="n">
        <v>0</v>
      </c>
      <c r="O557" t="n">
        <v>0</v>
      </c>
      <c r="P557" t="n">
        <v>0</v>
      </c>
      <c r="Q557" t="n">
        <v>0</v>
      </c>
      <c r="R557" s="2" t="inlineStr"/>
    </row>
    <row r="558" ht="15" customHeight="1">
      <c r="A558" t="inlineStr">
        <is>
          <t>A 56348-2024</t>
        </is>
      </c>
      <c r="B558" s="1" t="n">
        <v>45624</v>
      </c>
      <c r="C558" s="1" t="n">
        <v>46035</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47225-2025</t>
        </is>
      </c>
      <c r="B559" s="1" t="n">
        <v>45930.39145833333</v>
      </c>
      <c r="C559" s="1" t="n">
        <v>46035</v>
      </c>
      <c r="D559" t="inlineStr">
        <is>
          <t>VÄRMLANDS LÄN</t>
        </is>
      </c>
      <c r="E559" t="inlineStr">
        <is>
          <t>ÅRJÄNG</t>
        </is>
      </c>
      <c r="G559" t="n">
        <v>1.9</v>
      </c>
      <c r="H559" t="n">
        <v>0</v>
      </c>
      <c r="I559" t="n">
        <v>0</v>
      </c>
      <c r="J559" t="n">
        <v>0</v>
      </c>
      <c r="K559" t="n">
        <v>0</v>
      </c>
      <c r="L559" t="n">
        <v>0</v>
      </c>
      <c r="M559" t="n">
        <v>0</v>
      </c>
      <c r="N559" t="n">
        <v>0</v>
      </c>
      <c r="O559" t="n">
        <v>0</v>
      </c>
      <c r="P559" t="n">
        <v>0</v>
      </c>
      <c r="Q559" t="n">
        <v>0</v>
      </c>
      <c r="R559" s="2" t="inlineStr"/>
    </row>
    <row r="560" ht="15" customHeight="1">
      <c r="A560" t="inlineStr">
        <is>
          <t>A 26998-2025</t>
        </is>
      </c>
      <c r="B560" s="1" t="n">
        <v>45811</v>
      </c>
      <c r="C560" s="1" t="n">
        <v>46035</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47426-2025</t>
        </is>
      </c>
      <c r="B561" s="1" t="n">
        <v>45930.63482638889</v>
      </c>
      <c r="C561" s="1" t="n">
        <v>46035</v>
      </c>
      <c r="D561" t="inlineStr">
        <is>
          <t>VÄRMLANDS LÄN</t>
        </is>
      </c>
      <c r="E561" t="inlineStr">
        <is>
          <t>ÅRJÄNG</t>
        </is>
      </c>
      <c r="G561" t="n">
        <v>1.1</v>
      </c>
      <c r="H561" t="n">
        <v>0</v>
      </c>
      <c r="I561" t="n">
        <v>0</v>
      </c>
      <c r="J561" t="n">
        <v>0</v>
      </c>
      <c r="K561" t="n">
        <v>0</v>
      </c>
      <c r="L561" t="n">
        <v>0</v>
      </c>
      <c r="M561" t="n">
        <v>0</v>
      </c>
      <c r="N561" t="n">
        <v>0</v>
      </c>
      <c r="O561" t="n">
        <v>0</v>
      </c>
      <c r="P561" t="n">
        <v>0</v>
      </c>
      <c r="Q561" t="n">
        <v>0</v>
      </c>
      <c r="R561" s="2" t="inlineStr"/>
    </row>
    <row r="562" ht="15" customHeight="1">
      <c r="A562" t="inlineStr">
        <is>
          <t>A 47211-2025</t>
        </is>
      </c>
      <c r="B562" s="1" t="n">
        <v>45930.3815625</v>
      </c>
      <c r="C562" s="1" t="n">
        <v>46035</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24964-2025</t>
        </is>
      </c>
      <c r="B563" s="1" t="n">
        <v>45799</v>
      </c>
      <c r="C563" s="1" t="n">
        <v>46035</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26959-2025</t>
        </is>
      </c>
      <c r="B564" s="1" t="n">
        <v>45811.45909722222</v>
      </c>
      <c r="C564" s="1" t="n">
        <v>46035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46023-2025</t>
        </is>
      </c>
      <c r="B565" s="1" t="n">
        <v>45924</v>
      </c>
      <c r="C565" s="1" t="n">
        <v>46035</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27120-2025</t>
        </is>
      </c>
      <c r="B566" s="1" t="n">
        <v>45811.76232638889</v>
      </c>
      <c r="C566" s="1" t="n">
        <v>46035</v>
      </c>
      <c r="D566" t="inlineStr">
        <is>
          <t>VÄRMLANDS LÄN</t>
        </is>
      </c>
      <c r="E566" t="inlineStr">
        <is>
          <t>ÅRJÄNG</t>
        </is>
      </c>
      <c r="G566" t="n">
        <v>4.3</v>
      </c>
      <c r="H566" t="n">
        <v>0</v>
      </c>
      <c r="I566" t="n">
        <v>0</v>
      </c>
      <c r="J566" t="n">
        <v>0</v>
      </c>
      <c r="K566" t="n">
        <v>0</v>
      </c>
      <c r="L566" t="n">
        <v>0</v>
      </c>
      <c r="M566" t="n">
        <v>0</v>
      </c>
      <c r="N566" t="n">
        <v>0</v>
      </c>
      <c r="O566" t="n">
        <v>0</v>
      </c>
      <c r="P566" t="n">
        <v>0</v>
      </c>
      <c r="Q566" t="n">
        <v>0</v>
      </c>
      <c r="R566" s="2" t="inlineStr"/>
    </row>
    <row r="567" ht="15" customHeight="1">
      <c r="A567" t="inlineStr">
        <is>
          <t>A 27247-2025</t>
        </is>
      </c>
      <c r="B567" s="1" t="n">
        <v>45812.46612268518</v>
      </c>
      <c r="C567" s="1" t="n">
        <v>46035</v>
      </c>
      <c r="D567" t="inlineStr">
        <is>
          <t>VÄRMLANDS LÄN</t>
        </is>
      </c>
      <c r="E567" t="inlineStr">
        <is>
          <t>ÅRJÄNG</t>
        </is>
      </c>
      <c r="G567" t="n">
        <v>2.9</v>
      </c>
      <c r="H567" t="n">
        <v>0</v>
      </c>
      <c r="I567" t="n">
        <v>0</v>
      </c>
      <c r="J567" t="n">
        <v>0</v>
      </c>
      <c r="K567" t="n">
        <v>0</v>
      </c>
      <c r="L567" t="n">
        <v>0</v>
      </c>
      <c r="M567" t="n">
        <v>0</v>
      </c>
      <c r="N567" t="n">
        <v>0</v>
      </c>
      <c r="O567" t="n">
        <v>0</v>
      </c>
      <c r="P567" t="n">
        <v>0</v>
      </c>
      <c r="Q567" t="n">
        <v>0</v>
      </c>
      <c r="R567" s="2" t="inlineStr"/>
    </row>
    <row r="568" ht="15" customHeight="1">
      <c r="A568" t="inlineStr">
        <is>
          <t>A 59068-2024</t>
        </is>
      </c>
      <c r="B568" s="1" t="n">
        <v>45636.95376157408</v>
      </c>
      <c r="C568" s="1" t="n">
        <v>46035</v>
      </c>
      <c r="D568" t="inlineStr">
        <is>
          <t>VÄRMLANDS LÄN</t>
        </is>
      </c>
      <c r="E568" t="inlineStr">
        <is>
          <t>ÅRJÄNG</t>
        </is>
      </c>
      <c r="G568" t="n">
        <v>3.2</v>
      </c>
      <c r="H568" t="n">
        <v>0</v>
      </c>
      <c r="I568" t="n">
        <v>0</v>
      </c>
      <c r="J568" t="n">
        <v>0</v>
      </c>
      <c r="K568" t="n">
        <v>0</v>
      </c>
      <c r="L568" t="n">
        <v>0</v>
      </c>
      <c r="M568" t="n">
        <v>0</v>
      </c>
      <c r="N568" t="n">
        <v>0</v>
      </c>
      <c r="O568" t="n">
        <v>0</v>
      </c>
      <c r="P568" t="n">
        <v>0</v>
      </c>
      <c r="Q568" t="n">
        <v>0</v>
      </c>
      <c r="R568" s="2" t="inlineStr"/>
    </row>
    <row r="569" ht="15" customHeight="1">
      <c r="A569" t="inlineStr">
        <is>
          <t>A 45994-2025</t>
        </is>
      </c>
      <c r="B569" s="1" t="n">
        <v>45924</v>
      </c>
      <c r="C569" s="1" t="n">
        <v>46035</v>
      </c>
      <c r="D569" t="inlineStr">
        <is>
          <t>VÄRMLANDS LÄN</t>
        </is>
      </c>
      <c r="E569" t="inlineStr">
        <is>
          <t>ÅRJÄNG</t>
        </is>
      </c>
      <c r="G569" t="n">
        <v>4</v>
      </c>
      <c r="H569" t="n">
        <v>0</v>
      </c>
      <c r="I569" t="n">
        <v>0</v>
      </c>
      <c r="J569" t="n">
        <v>0</v>
      </c>
      <c r="K569" t="n">
        <v>0</v>
      </c>
      <c r="L569" t="n">
        <v>0</v>
      </c>
      <c r="M569" t="n">
        <v>0</v>
      </c>
      <c r="N569" t="n">
        <v>0</v>
      </c>
      <c r="O569" t="n">
        <v>0</v>
      </c>
      <c r="P569" t="n">
        <v>0</v>
      </c>
      <c r="Q569" t="n">
        <v>0</v>
      </c>
      <c r="R569" s="2" t="inlineStr"/>
    </row>
    <row r="570" ht="15" customHeight="1">
      <c r="A570" t="inlineStr">
        <is>
          <t>A 46942-2025</t>
        </is>
      </c>
      <c r="B570" s="1" t="n">
        <v>45929.45822916667</v>
      </c>
      <c r="C570" s="1" t="n">
        <v>46035</v>
      </c>
      <c r="D570" t="inlineStr">
        <is>
          <t>VÄRMLANDS LÄN</t>
        </is>
      </c>
      <c r="E570" t="inlineStr">
        <is>
          <t>ÅRJÄNG</t>
        </is>
      </c>
      <c r="G570" t="n">
        <v>0.4</v>
      </c>
      <c r="H570" t="n">
        <v>0</v>
      </c>
      <c r="I570" t="n">
        <v>0</v>
      </c>
      <c r="J570" t="n">
        <v>0</v>
      </c>
      <c r="K570" t="n">
        <v>0</v>
      </c>
      <c r="L570" t="n">
        <v>0</v>
      </c>
      <c r="M570" t="n">
        <v>0</v>
      </c>
      <c r="N570" t="n">
        <v>0</v>
      </c>
      <c r="O570" t="n">
        <v>0</v>
      </c>
      <c r="P570" t="n">
        <v>0</v>
      </c>
      <c r="Q570" t="n">
        <v>0</v>
      </c>
      <c r="R570" s="2" t="inlineStr"/>
    </row>
    <row r="571" ht="15" customHeight="1">
      <c r="A571" t="inlineStr">
        <is>
          <t>A 49437-2025</t>
        </is>
      </c>
      <c r="B571" s="1" t="n">
        <v>45938.8803587963</v>
      </c>
      <c r="C571" s="1" t="n">
        <v>46035</v>
      </c>
      <c r="D571" t="inlineStr">
        <is>
          <t>VÄRMLANDS LÄN</t>
        </is>
      </c>
      <c r="E571" t="inlineStr">
        <is>
          <t>ÅRJÄNG</t>
        </is>
      </c>
      <c r="G571" t="n">
        <v>5.2</v>
      </c>
      <c r="H571" t="n">
        <v>0</v>
      </c>
      <c r="I571" t="n">
        <v>0</v>
      </c>
      <c r="J571" t="n">
        <v>0</v>
      </c>
      <c r="K571" t="n">
        <v>0</v>
      </c>
      <c r="L571" t="n">
        <v>0</v>
      </c>
      <c r="M571" t="n">
        <v>0</v>
      </c>
      <c r="N571" t="n">
        <v>0</v>
      </c>
      <c r="O571" t="n">
        <v>0</v>
      </c>
      <c r="P571" t="n">
        <v>0</v>
      </c>
      <c r="Q571" t="n">
        <v>0</v>
      </c>
      <c r="R571" s="2" t="inlineStr"/>
    </row>
    <row r="572" ht="15" customHeight="1">
      <c r="A572" t="inlineStr">
        <is>
          <t>A 47007-2025</t>
        </is>
      </c>
      <c r="B572" s="1" t="n">
        <v>45929.56689814815</v>
      </c>
      <c r="C572" s="1" t="n">
        <v>46035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61868-2024</t>
        </is>
      </c>
      <c r="B573" s="1" t="n">
        <v>45651.47393518518</v>
      </c>
      <c r="C573" s="1" t="n">
        <v>46035</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47112-2025</t>
        </is>
      </c>
      <c r="B574" s="1" t="n">
        <v>45929.66966435185</v>
      </c>
      <c r="C574" s="1" t="n">
        <v>46035</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49936-2025</t>
        </is>
      </c>
      <c r="B575" s="1" t="n">
        <v>45940.66287037037</v>
      </c>
      <c r="C575" s="1" t="n">
        <v>46035</v>
      </c>
      <c r="D575" t="inlineStr">
        <is>
          <t>VÄRMLANDS LÄN</t>
        </is>
      </c>
      <c r="E575" t="inlineStr">
        <is>
          <t>ÅRJÄNG</t>
        </is>
      </c>
      <c r="F575" t="inlineStr">
        <is>
          <t>Kyrkan</t>
        </is>
      </c>
      <c r="G575" t="n">
        <v>5.3</v>
      </c>
      <c r="H575" t="n">
        <v>0</v>
      </c>
      <c r="I575" t="n">
        <v>0</v>
      </c>
      <c r="J575" t="n">
        <v>0</v>
      </c>
      <c r="K575" t="n">
        <v>0</v>
      </c>
      <c r="L575" t="n">
        <v>0</v>
      </c>
      <c r="M575" t="n">
        <v>0</v>
      </c>
      <c r="N575" t="n">
        <v>0</v>
      </c>
      <c r="O575" t="n">
        <v>0</v>
      </c>
      <c r="P575" t="n">
        <v>0</v>
      </c>
      <c r="Q575" t="n">
        <v>0</v>
      </c>
      <c r="R575" s="2" t="inlineStr"/>
    </row>
    <row r="576" ht="15" customHeight="1">
      <c r="A576" t="inlineStr">
        <is>
          <t>A 49540-2025</t>
        </is>
      </c>
      <c r="B576" s="1" t="n">
        <v>45939.42537037037</v>
      </c>
      <c r="C576" s="1" t="n">
        <v>46035</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3492-2024</t>
        </is>
      </c>
      <c r="B577" s="1" t="n">
        <v>45317</v>
      </c>
      <c r="C577" s="1" t="n">
        <v>46035</v>
      </c>
      <c r="D577" t="inlineStr">
        <is>
          <t>VÄRMLANDS LÄN</t>
        </is>
      </c>
      <c r="E577" t="inlineStr">
        <is>
          <t>ÅRJÄNG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62720-2023</t>
        </is>
      </c>
      <c r="B578" s="1" t="n">
        <v>45271.5799537037</v>
      </c>
      <c r="C578" s="1" t="n">
        <v>46035</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50187-2025</t>
        </is>
      </c>
      <c r="B579" s="1" t="n">
        <v>45943.62962962963</v>
      </c>
      <c r="C579" s="1" t="n">
        <v>46035</v>
      </c>
      <c r="D579" t="inlineStr">
        <is>
          <t>VÄRMLANDS LÄN</t>
        </is>
      </c>
      <c r="E579" t="inlineStr">
        <is>
          <t>ÅRJÄNG</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40349-2024</t>
        </is>
      </c>
      <c r="B580" s="1" t="n">
        <v>45555.35849537037</v>
      </c>
      <c r="C580" s="1" t="n">
        <v>46035</v>
      </c>
      <c r="D580" t="inlineStr">
        <is>
          <t>VÄRMLANDS LÄN</t>
        </is>
      </c>
      <c r="E580" t="inlineStr">
        <is>
          <t>ÅRJÄNG</t>
        </is>
      </c>
      <c r="G580" t="n">
        <v>0.6</v>
      </c>
      <c r="H580" t="n">
        <v>0</v>
      </c>
      <c r="I580" t="n">
        <v>0</v>
      </c>
      <c r="J580" t="n">
        <v>0</v>
      </c>
      <c r="K580" t="n">
        <v>0</v>
      </c>
      <c r="L580" t="n">
        <v>0</v>
      </c>
      <c r="M580" t="n">
        <v>0</v>
      </c>
      <c r="N580" t="n">
        <v>0</v>
      </c>
      <c r="O580" t="n">
        <v>0</v>
      </c>
      <c r="P580" t="n">
        <v>0</v>
      </c>
      <c r="Q580" t="n">
        <v>0</v>
      </c>
      <c r="R580" s="2" t="inlineStr"/>
    </row>
    <row r="581" ht="15" customHeight="1">
      <c r="A581" t="inlineStr">
        <is>
          <t>A 50295-2025</t>
        </is>
      </c>
      <c r="B581" s="1" t="n">
        <v>45944</v>
      </c>
      <c r="C581" s="1" t="n">
        <v>46035</v>
      </c>
      <c r="D581" t="inlineStr">
        <is>
          <t>VÄRMLANDS LÄN</t>
        </is>
      </c>
      <c r="E581" t="inlineStr">
        <is>
          <t>ÅRJÄNG</t>
        </is>
      </c>
      <c r="G581" t="n">
        <v>6</v>
      </c>
      <c r="H581" t="n">
        <v>0</v>
      </c>
      <c r="I581" t="n">
        <v>0</v>
      </c>
      <c r="J581" t="n">
        <v>0</v>
      </c>
      <c r="K581" t="n">
        <v>0</v>
      </c>
      <c r="L581" t="n">
        <v>0</v>
      </c>
      <c r="M581" t="n">
        <v>0</v>
      </c>
      <c r="N581" t="n">
        <v>0</v>
      </c>
      <c r="O581" t="n">
        <v>0</v>
      </c>
      <c r="P581" t="n">
        <v>0</v>
      </c>
      <c r="Q581" t="n">
        <v>0</v>
      </c>
      <c r="R581" s="2" t="inlineStr"/>
    </row>
    <row r="582" ht="15" customHeight="1">
      <c r="A582" t="inlineStr">
        <is>
          <t>A 37191-2023</t>
        </is>
      </c>
      <c r="B582" s="1" t="n">
        <v>45154</v>
      </c>
      <c r="C582" s="1" t="n">
        <v>46035</v>
      </c>
      <c r="D582" t="inlineStr">
        <is>
          <t>VÄRMLANDS LÄN</t>
        </is>
      </c>
      <c r="E582" t="inlineStr">
        <is>
          <t>ÅRJÄNG</t>
        </is>
      </c>
      <c r="G582" t="n">
        <v>0.7</v>
      </c>
      <c r="H582" t="n">
        <v>0</v>
      </c>
      <c r="I582" t="n">
        <v>0</v>
      </c>
      <c r="J582" t="n">
        <v>0</v>
      </c>
      <c r="K582" t="n">
        <v>0</v>
      </c>
      <c r="L582" t="n">
        <v>0</v>
      </c>
      <c r="M582" t="n">
        <v>0</v>
      </c>
      <c r="N582" t="n">
        <v>0</v>
      </c>
      <c r="O582" t="n">
        <v>0</v>
      </c>
      <c r="P582" t="n">
        <v>0</v>
      </c>
      <c r="Q582" t="n">
        <v>0</v>
      </c>
      <c r="R582" s="2" t="inlineStr"/>
    </row>
    <row r="583" ht="15" customHeight="1">
      <c r="A583" t="inlineStr">
        <is>
          <t>A 21365-2022</t>
        </is>
      </c>
      <c r="B583" s="1" t="n">
        <v>44705</v>
      </c>
      <c r="C583" s="1" t="n">
        <v>46035</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50114-2025</t>
        </is>
      </c>
      <c r="B584" s="1" t="n">
        <v>45943</v>
      </c>
      <c r="C584" s="1" t="n">
        <v>46035</v>
      </c>
      <c r="D584" t="inlineStr">
        <is>
          <t>VÄRMLANDS LÄN</t>
        </is>
      </c>
      <c r="E584" t="inlineStr">
        <is>
          <t>ÅRJÄNG</t>
        </is>
      </c>
      <c r="G584" t="n">
        <v>0.7</v>
      </c>
      <c r="H584" t="n">
        <v>0</v>
      </c>
      <c r="I584" t="n">
        <v>0</v>
      </c>
      <c r="J584" t="n">
        <v>0</v>
      </c>
      <c r="K584" t="n">
        <v>0</v>
      </c>
      <c r="L584" t="n">
        <v>0</v>
      </c>
      <c r="M584" t="n">
        <v>0</v>
      </c>
      <c r="N584" t="n">
        <v>0</v>
      </c>
      <c r="O584" t="n">
        <v>0</v>
      </c>
      <c r="P584" t="n">
        <v>0</v>
      </c>
      <c r="Q584" t="n">
        <v>0</v>
      </c>
      <c r="R584" s="2" t="inlineStr"/>
    </row>
    <row r="585" ht="15" customHeight="1">
      <c r="A585" t="inlineStr">
        <is>
          <t>A 50108-2025</t>
        </is>
      </c>
      <c r="B585" s="1" t="n">
        <v>45943</v>
      </c>
      <c r="C585" s="1" t="n">
        <v>46035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50118-2025</t>
        </is>
      </c>
      <c r="B586" s="1" t="n">
        <v>45943</v>
      </c>
      <c r="C586" s="1" t="n">
        <v>46035</v>
      </c>
      <c r="D586" t="inlineStr">
        <is>
          <t>VÄRMLANDS LÄN</t>
        </is>
      </c>
      <c r="E586" t="inlineStr">
        <is>
          <t>ÅRJÄNG</t>
        </is>
      </c>
      <c r="G586" t="n">
        <v>7.7</v>
      </c>
      <c r="H586" t="n">
        <v>0</v>
      </c>
      <c r="I586" t="n">
        <v>0</v>
      </c>
      <c r="J586" t="n">
        <v>0</v>
      </c>
      <c r="K586" t="n">
        <v>0</v>
      </c>
      <c r="L586" t="n">
        <v>0</v>
      </c>
      <c r="M586" t="n">
        <v>0</v>
      </c>
      <c r="N586" t="n">
        <v>0</v>
      </c>
      <c r="O586" t="n">
        <v>0</v>
      </c>
      <c r="P586" t="n">
        <v>0</v>
      </c>
      <c r="Q586" t="n">
        <v>0</v>
      </c>
      <c r="R586" s="2" t="inlineStr"/>
    </row>
    <row r="587" ht="15" customHeight="1">
      <c r="A587" t="inlineStr">
        <is>
          <t>A 4408-2025</t>
        </is>
      </c>
      <c r="B587" s="1" t="n">
        <v>45686</v>
      </c>
      <c r="C587" s="1" t="n">
        <v>46035</v>
      </c>
      <c r="D587" t="inlineStr">
        <is>
          <t>VÄRMLANDS LÄN</t>
        </is>
      </c>
      <c r="E587" t="inlineStr">
        <is>
          <t>ÅRJÄNG</t>
        </is>
      </c>
      <c r="G587" t="n">
        <v>2</v>
      </c>
      <c r="H587" t="n">
        <v>0</v>
      </c>
      <c r="I587" t="n">
        <v>0</v>
      </c>
      <c r="J587" t="n">
        <v>0</v>
      </c>
      <c r="K587" t="n">
        <v>0</v>
      </c>
      <c r="L587" t="n">
        <v>0</v>
      </c>
      <c r="M587" t="n">
        <v>0</v>
      </c>
      <c r="N587" t="n">
        <v>0</v>
      </c>
      <c r="O587" t="n">
        <v>0</v>
      </c>
      <c r="P587" t="n">
        <v>0</v>
      </c>
      <c r="Q587" t="n">
        <v>0</v>
      </c>
      <c r="R587" s="2" t="inlineStr"/>
    </row>
    <row r="588" ht="15" customHeight="1">
      <c r="A588" t="inlineStr">
        <is>
          <t>A 53468-2021</t>
        </is>
      </c>
      <c r="B588" s="1" t="n">
        <v>44468.74127314815</v>
      </c>
      <c r="C588" s="1" t="n">
        <v>46035</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28874-2025</t>
        </is>
      </c>
      <c r="B589" s="1" t="n">
        <v>45820</v>
      </c>
      <c r="C589" s="1" t="n">
        <v>46035</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28690-2025</t>
        </is>
      </c>
      <c r="B590" s="1" t="n">
        <v>45819.73236111111</v>
      </c>
      <c r="C590" s="1" t="n">
        <v>46035</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28711-2025</t>
        </is>
      </c>
      <c r="B591" s="1" t="n">
        <v>45820.33701388889</v>
      </c>
      <c r="C591" s="1" t="n">
        <v>46035</v>
      </c>
      <c r="D591" t="inlineStr">
        <is>
          <t>VÄRMLANDS LÄN</t>
        </is>
      </c>
      <c r="E591" t="inlineStr">
        <is>
          <t>ÅRJÄNG</t>
        </is>
      </c>
      <c r="G591" t="n">
        <v>2</v>
      </c>
      <c r="H591" t="n">
        <v>0</v>
      </c>
      <c r="I591" t="n">
        <v>0</v>
      </c>
      <c r="J591" t="n">
        <v>0</v>
      </c>
      <c r="K591" t="n">
        <v>0</v>
      </c>
      <c r="L591" t="n">
        <v>0</v>
      </c>
      <c r="M591" t="n">
        <v>0</v>
      </c>
      <c r="N591" t="n">
        <v>0</v>
      </c>
      <c r="O591" t="n">
        <v>0</v>
      </c>
      <c r="P591" t="n">
        <v>0</v>
      </c>
      <c r="Q591" t="n">
        <v>0</v>
      </c>
      <c r="R591" s="2" t="inlineStr"/>
    </row>
    <row r="592" ht="15" customHeight="1">
      <c r="A592" t="inlineStr">
        <is>
          <t>A 49958-2025</t>
        </is>
      </c>
      <c r="B592" s="1" t="n">
        <v>45941.33325231481</v>
      </c>
      <c r="C592" s="1" t="n">
        <v>46035</v>
      </c>
      <c r="D592" t="inlineStr">
        <is>
          <t>VÄRMLANDS LÄN</t>
        </is>
      </c>
      <c r="E592" t="inlineStr">
        <is>
          <t>ÅRJÄNG</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49959-2025</t>
        </is>
      </c>
      <c r="B593" s="1" t="n">
        <v>45941.33649305555</v>
      </c>
      <c r="C593" s="1" t="n">
        <v>46035</v>
      </c>
      <c r="D593" t="inlineStr">
        <is>
          <t>VÄRMLANDS LÄN</t>
        </is>
      </c>
      <c r="E593" t="inlineStr">
        <is>
          <t>ÅRJÄNG</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28797-2025</t>
        </is>
      </c>
      <c r="B594" s="1" t="n">
        <v>45820.48179398148</v>
      </c>
      <c r="C594" s="1" t="n">
        <v>46035</v>
      </c>
      <c r="D594" t="inlineStr">
        <is>
          <t>VÄRMLANDS LÄN</t>
        </is>
      </c>
      <c r="E594" t="inlineStr">
        <is>
          <t>ÅRJÄNG</t>
        </is>
      </c>
      <c r="G594" t="n">
        <v>3</v>
      </c>
      <c r="H594" t="n">
        <v>0</v>
      </c>
      <c r="I594" t="n">
        <v>0</v>
      </c>
      <c r="J594" t="n">
        <v>0</v>
      </c>
      <c r="K594" t="n">
        <v>0</v>
      </c>
      <c r="L594" t="n">
        <v>0</v>
      </c>
      <c r="M594" t="n">
        <v>0</v>
      </c>
      <c r="N594" t="n">
        <v>0</v>
      </c>
      <c r="O594" t="n">
        <v>0</v>
      </c>
      <c r="P594" t="n">
        <v>0</v>
      </c>
      <c r="Q594" t="n">
        <v>0</v>
      </c>
      <c r="R594" s="2" t="inlineStr"/>
    </row>
    <row r="595" ht="15" customHeight="1">
      <c r="A595" t="inlineStr">
        <is>
          <t>A 28793-2025</t>
        </is>
      </c>
      <c r="B595" s="1" t="n">
        <v>45820.47452546296</v>
      </c>
      <c r="C595" s="1" t="n">
        <v>46035</v>
      </c>
      <c r="D595" t="inlineStr">
        <is>
          <t>VÄRMLANDS LÄN</t>
        </is>
      </c>
      <c r="E595" t="inlineStr">
        <is>
          <t>ÅRJÄNG</t>
        </is>
      </c>
      <c r="G595" t="n">
        <v>2.6</v>
      </c>
      <c r="H595" t="n">
        <v>0</v>
      </c>
      <c r="I595" t="n">
        <v>0</v>
      </c>
      <c r="J595" t="n">
        <v>0</v>
      </c>
      <c r="K595" t="n">
        <v>0</v>
      </c>
      <c r="L595" t="n">
        <v>0</v>
      </c>
      <c r="M595" t="n">
        <v>0</v>
      </c>
      <c r="N595" t="n">
        <v>0</v>
      </c>
      <c r="O595" t="n">
        <v>0</v>
      </c>
      <c r="P595" t="n">
        <v>0</v>
      </c>
      <c r="Q595" t="n">
        <v>0</v>
      </c>
      <c r="R595" s="2" t="inlineStr"/>
    </row>
    <row r="596" ht="15" customHeight="1">
      <c r="A596" t="inlineStr">
        <is>
          <t>A 50112-2025</t>
        </is>
      </c>
      <c r="B596" s="1" t="n">
        <v>45943</v>
      </c>
      <c r="C596" s="1" t="n">
        <v>46035</v>
      </c>
      <c r="D596" t="inlineStr">
        <is>
          <t>VÄRMLANDS LÄN</t>
        </is>
      </c>
      <c r="E596" t="inlineStr">
        <is>
          <t>ÅRJÄNG</t>
        </is>
      </c>
      <c r="G596" t="n">
        <v>2.2</v>
      </c>
      <c r="H596" t="n">
        <v>0</v>
      </c>
      <c r="I596" t="n">
        <v>0</v>
      </c>
      <c r="J596" t="n">
        <v>0</v>
      </c>
      <c r="K596" t="n">
        <v>0</v>
      </c>
      <c r="L596" t="n">
        <v>0</v>
      </c>
      <c r="M596" t="n">
        <v>0</v>
      </c>
      <c r="N596" t="n">
        <v>0</v>
      </c>
      <c r="O596" t="n">
        <v>0</v>
      </c>
      <c r="P596" t="n">
        <v>0</v>
      </c>
      <c r="Q596" t="n">
        <v>0</v>
      </c>
      <c r="R596" s="2" t="inlineStr"/>
    </row>
    <row r="597" ht="15" customHeight="1">
      <c r="A597" t="inlineStr">
        <is>
          <t>A 28948-2025</t>
        </is>
      </c>
      <c r="B597" s="1" t="n">
        <v>45820</v>
      </c>
      <c r="C597" s="1" t="n">
        <v>46035</v>
      </c>
      <c r="D597" t="inlineStr">
        <is>
          <t>VÄRMLANDS LÄN</t>
        </is>
      </c>
      <c r="E597" t="inlineStr">
        <is>
          <t>ÅRJÄNG</t>
        </is>
      </c>
      <c r="G597" t="n">
        <v>0.6</v>
      </c>
      <c r="H597" t="n">
        <v>0</v>
      </c>
      <c r="I597" t="n">
        <v>0</v>
      </c>
      <c r="J597" t="n">
        <v>0</v>
      </c>
      <c r="K597" t="n">
        <v>0</v>
      </c>
      <c r="L597" t="n">
        <v>0</v>
      </c>
      <c r="M597" t="n">
        <v>0</v>
      </c>
      <c r="N597" t="n">
        <v>0</v>
      </c>
      <c r="O597" t="n">
        <v>0</v>
      </c>
      <c r="P597" t="n">
        <v>0</v>
      </c>
      <c r="Q597" t="n">
        <v>0</v>
      </c>
      <c r="R597" s="2" t="inlineStr"/>
    </row>
    <row r="598" ht="15" customHeight="1">
      <c r="A598" t="inlineStr">
        <is>
          <t>A 28949-2025</t>
        </is>
      </c>
      <c r="B598" s="1" t="n">
        <v>45820</v>
      </c>
      <c r="C598" s="1" t="n">
        <v>46035</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43650-2024</t>
        </is>
      </c>
      <c r="B599" s="1" t="n">
        <v>45569.53091435185</v>
      </c>
      <c r="C599" s="1" t="n">
        <v>46035</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57917-2025</t>
        </is>
      </c>
      <c r="B600" s="1" t="n">
        <v>45981</v>
      </c>
      <c r="C600" s="1" t="n">
        <v>46035</v>
      </c>
      <c r="D600" t="inlineStr">
        <is>
          <t>VÄRMLANDS LÄN</t>
        </is>
      </c>
      <c r="E600" t="inlineStr">
        <is>
          <t>ÅRJÄNG</t>
        </is>
      </c>
      <c r="G600" t="n">
        <v>5.5</v>
      </c>
      <c r="H600" t="n">
        <v>0</v>
      </c>
      <c r="I600" t="n">
        <v>0</v>
      </c>
      <c r="J600" t="n">
        <v>0</v>
      </c>
      <c r="K600" t="n">
        <v>0</v>
      </c>
      <c r="L600" t="n">
        <v>0</v>
      </c>
      <c r="M600" t="n">
        <v>0</v>
      </c>
      <c r="N600" t="n">
        <v>0</v>
      </c>
      <c r="O600" t="n">
        <v>0</v>
      </c>
      <c r="P600" t="n">
        <v>0</v>
      </c>
      <c r="Q600" t="n">
        <v>0</v>
      </c>
      <c r="R600" s="2" t="inlineStr"/>
    </row>
    <row r="601" ht="15" customHeight="1">
      <c r="A601" t="inlineStr">
        <is>
          <t>A 28710-2025</t>
        </is>
      </c>
      <c r="B601" s="1" t="n">
        <v>45820.32953703704</v>
      </c>
      <c r="C601" s="1" t="n">
        <v>46035</v>
      </c>
      <c r="D601" t="inlineStr">
        <is>
          <t>VÄRMLANDS LÄN</t>
        </is>
      </c>
      <c r="E601" t="inlineStr">
        <is>
          <t>ÅRJÄNG</t>
        </is>
      </c>
      <c r="G601" t="n">
        <v>1.2</v>
      </c>
      <c r="H601" t="n">
        <v>0</v>
      </c>
      <c r="I601" t="n">
        <v>0</v>
      </c>
      <c r="J601" t="n">
        <v>0</v>
      </c>
      <c r="K601" t="n">
        <v>0</v>
      </c>
      <c r="L601" t="n">
        <v>0</v>
      </c>
      <c r="M601" t="n">
        <v>0</v>
      </c>
      <c r="N601" t="n">
        <v>0</v>
      </c>
      <c r="O601" t="n">
        <v>0</v>
      </c>
      <c r="P601" t="n">
        <v>0</v>
      </c>
      <c r="Q601" t="n">
        <v>0</v>
      </c>
      <c r="R601" s="2" t="inlineStr"/>
    </row>
    <row r="602" ht="15" customHeight="1">
      <c r="A602" t="inlineStr">
        <is>
          <t>A 21513-2024</t>
        </is>
      </c>
      <c r="B602" s="1" t="n">
        <v>45441</v>
      </c>
      <c r="C602" s="1" t="n">
        <v>46035</v>
      </c>
      <c r="D602" t="inlineStr">
        <is>
          <t>VÄRMLANDS LÄN</t>
        </is>
      </c>
      <c r="E602" t="inlineStr">
        <is>
          <t>ÅRJÄNG</t>
        </is>
      </c>
      <c r="G602" t="n">
        <v>2.1</v>
      </c>
      <c r="H602" t="n">
        <v>0</v>
      </c>
      <c r="I602" t="n">
        <v>0</v>
      </c>
      <c r="J602" t="n">
        <v>0</v>
      </c>
      <c r="K602" t="n">
        <v>0</v>
      </c>
      <c r="L602" t="n">
        <v>0</v>
      </c>
      <c r="M602" t="n">
        <v>0</v>
      </c>
      <c r="N602" t="n">
        <v>0</v>
      </c>
      <c r="O602" t="n">
        <v>0</v>
      </c>
      <c r="P602" t="n">
        <v>0</v>
      </c>
      <c r="Q602" t="n">
        <v>0</v>
      </c>
      <c r="R602" s="2" t="inlineStr"/>
    </row>
    <row r="603" ht="15" customHeight="1">
      <c r="A603" t="inlineStr">
        <is>
          <t>A 28554-2025</t>
        </is>
      </c>
      <c r="B603" s="1" t="n">
        <v>45819.53761574074</v>
      </c>
      <c r="C603" s="1" t="n">
        <v>46035</v>
      </c>
      <c r="D603" t="inlineStr">
        <is>
          <t>VÄRMLANDS LÄN</t>
        </is>
      </c>
      <c r="E603" t="inlineStr">
        <is>
          <t>ÅRJÄNG</t>
        </is>
      </c>
      <c r="G603" t="n">
        <v>1.5</v>
      </c>
      <c r="H603" t="n">
        <v>0</v>
      </c>
      <c r="I603" t="n">
        <v>0</v>
      </c>
      <c r="J603" t="n">
        <v>0</v>
      </c>
      <c r="K603" t="n">
        <v>0</v>
      </c>
      <c r="L603" t="n">
        <v>0</v>
      </c>
      <c r="M603" t="n">
        <v>0</v>
      </c>
      <c r="N603" t="n">
        <v>0</v>
      </c>
      <c r="O603" t="n">
        <v>0</v>
      </c>
      <c r="P603" t="n">
        <v>0</v>
      </c>
      <c r="Q603" t="n">
        <v>0</v>
      </c>
      <c r="R603" s="2" t="inlineStr"/>
    </row>
    <row r="604" ht="15" customHeight="1">
      <c r="A604" t="inlineStr">
        <is>
          <t>A 29136-2025</t>
        </is>
      </c>
      <c r="B604" s="1" t="n">
        <v>45821</v>
      </c>
      <c r="C604" s="1" t="n">
        <v>46035</v>
      </c>
      <c r="D604" t="inlineStr">
        <is>
          <t>VÄRMLANDS LÄN</t>
        </is>
      </c>
      <c r="E604" t="inlineStr">
        <is>
          <t>ÅRJÄNG</t>
        </is>
      </c>
      <c r="G604" t="n">
        <v>0.9</v>
      </c>
      <c r="H604" t="n">
        <v>0</v>
      </c>
      <c r="I604" t="n">
        <v>0</v>
      </c>
      <c r="J604" t="n">
        <v>0</v>
      </c>
      <c r="K604" t="n">
        <v>0</v>
      </c>
      <c r="L604" t="n">
        <v>0</v>
      </c>
      <c r="M604" t="n">
        <v>0</v>
      </c>
      <c r="N604" t="n">
        <v>0</v>
      </c>
      <c r="O604" t="n">
        <v>0</v>
      </c>
      <c r="P604" t="n">
        <v>0</v>
      </c>
      <c r="Q604" t="n">
        <v>0</v>
      </c>
      <c r="R604" s="2" t="inlineStr"/>
    </row>
    <row r="605" ht="15" customHeight="1">
      <c r="A605" t="inlineStr">
        <is>
          <t>A 29138-2025</t>
        </is>
      </c>
      <c r="B605" s="1" t="n">
        <v>45821</v>
      </c>
      <c r="C605" s="1" t="n">
        <v>46035</v>
      </c>
      <c r="D605" t="inlineStr">
        <is>
          <t>VÄRMLANDS LÄN</t>
        </is>
      </c>
      <c r="E605" t="inlineStr">
        <is>
          <t>ÅRJÄNG</t>
        </is>
      </c>
      <c r="G605" t="n">
        <v>1.1</v>
      </c>
      <c r="H605" t="n">
        <v>0</v>
      </c>
      <c r="I605" t="n">
        <v>0</v>
      </c>
      <c r="J605" t="n">
        <v>0</v>
      </c>
      <c r="K605" t="n">
        <v>0</v>
      </c>
      <c r="L605" t="n">
        <v>0</v>
      </c>
      <c r="M605" t="n">
        <v>0</v>
      </c>
      <c r="N605" t="n">
        <v>0</v>
      </c>
      <c r="O605" t="n">
        <v>0</v>
      </c>
      <c r="P605" t="n">
        <v>0</v>
      </c>
      <c r="Q605" t="n">
        <v>0</v>
      </c>
      <c r="R605" s="2" t="inlineStr"/>
    </row>
    <row r="606" ht="15" customHeight="1">
      <c r="A606" t="inlineStr">
        <is>
          <t>A 29146-2025</t>
        </is>
      </c>
      <c r="B606" s="1" t="n">
        <v>45821</v>
      </c>
      <c r="C606" s="1" t="n">
        <v>46035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29007-2025</t>
        </is>
      </c>
      <c r="B607" s="1" t="n">
        <v>45821</v>
      </c>
      <c r="C607" s="1" t="n">
        <v>46035</v>
      </c>
      <c r="D607" t="inlineStr">
        <is>
          <t>VÄRMLANDS LÄN</t>
        </is>
      </c>
      <c r="E607" t="inlineStr">
        <is>
          <t>ÅRJÄNG</t>
        </is>
      </c>
      <c r="F607" t="inlineStr">
        <is>
          <t>Bergvik skog väst AB</t>
        </is>
      </c>
      <c r="G607" t="n">
        <v>6.2</v>
      </c>
      <c r="H607" t="n">
        <v>0</v>
      </c>
      <c r="I607" t="n">
        <v>0</v>
      </c>
      <c r="J607" t="n">
        <v>0</v>
      </c>
      <c r="K607" t="n">
        <v>0</v>
      </c>
      <c r="L607" t="n">
        <v>0</v>
      </c>
      <c r="M607" t="n">
        <v>0</v>
      </c>
      <c r="N607" t="n">
        <v>0</v>
      </c>
      <c r="O607" t="n">
        <v>0</v>
      </c>
      <c r="P607" t="n">
        <v>0</v>
      </c>
      <c r="Q607" t="n">
        <v>0</v>
      </c>
      <c r="R607" s="2" t="inlineStr"/>
    </row>
    <row r="608" ht="15" customHeight="1">
      <c r="A608" t="inlineStr">
        <is>
          <t>A 29026-2025</t>
        </is>
      </c>
      <c r="B608" s="1" t="n">
        <v>45821</v>
      </c>
      <c r="C608" s="1" t="n">
        <v>46035</v>
      </c>
      <c r="D608" t="inlineStr">
        <is>
          <t>VÄRMLANDS LÄN</t>
        </is>
      </c>
      <c r="E608" t="inlineStr">
        <is>
          <t>ÅRJÄNG</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29082-2025</t>
        </is>
      </c>
      <c r="B609" s="1" t="n">
        <v>45821</v>
      </c>
      <c r="C609" s="1" t="n">
        <v>46035</v>
      </c>
      <c r="D609" t="inlineStr">
        <is>
          <t>VÄRMLANDS LÄN</t>
        </is>
      </c>
      <c r="E609" t="inlineStr">
        <is>
          <t>ÅRJÄNG</t>
        </is>
      </c>
      <c r="G609" t="n">
        <v>1.8</v>
      </c>
      <c r="H609" t="n">
        <v>0</v>
      </c>
      <c r="I609" t="n">
        <v>0</v>
      </c>
      <c r="J609" t="n">
        <v>0</v>
      </c>
      <c r="K609" t="n">
        <v>0</v>
      </c>
      <c r="L609" t="n">
        <v>0</v>
      </c>
      <c r="M609" t="n">
        <v>0</v>
      </c>
      <c r="N609" t="n">
        <v>0</v>
      </c>
      <c r="O609" t="n">
        <v>0</v>
      </c>
      <c r="P609" t="n">
        <v>0</v>
      </c>
      <c r="Q609" t="n">
        <v>0</v>
      </c>
      <c r="R609" s="2" t="inlineStr"/>
    </row>
    <row r="610" ht="15" customHeight="1">
      <c r="A610" t="inlineStr">
        <is>
          <t>A 14509-2022</t>
        </is>
      </c>
      <c r="B610" s="1" t="n">
        <v>44655</v>
      </c>
      <c r="C610" s="1" t="n">
        <v>46035</v>
      </c>
      <c r="D610" t="inlineStr">
        <is>
          <t>VÄRMLANDS LÄN</t>
        </is>
      </c>
      <c r="E610" t="inlineStr">
        <is>
          <t>ÅRJÄNG</t>
        </is>
      </c>
      <c r="G610" t="n">
        <v>0.2</v>
      </c>
      <c r="H610" t="n">
        <v>0</v>
      </c>
      <c r="I610" t="n">
        <v>0</v>
      </c>
      <c r="J610" t="n">
        <v>0</v>
      </c>
      <c r="K610" t="n">
        <v>0</v>
      </c>
      <c r="L610" t="n">
        <v>0</v>
      </c>
      <c r="M610" t="n">
        <v>0</v>
      </c>
      <c r="N610" t="n">
        <v>0</v>
      </c>
      <c r="O610" t="n">
        <v>0</v>
      </c>
      <c r="P610" t="n">
        <v>0</v>
      </c>
      <c r="Q610" t="n">
        <v>0</v>
      </c>
      <c r="R610" s="2" t="inlineStr"/>
    </row>
    <row r="611" ht="15" customHeight="1">
      <c r="A611" t="inlineStr">
        <is>
          <t>A 29166-2025</t>
        </is>
      </c>
      <c r="B611" s="1" t="n">
        <v>45821.68682870371</v>
      </c>
      <c r="C611" s="1" t="n">
        <v>46035</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28992-2025</t>
        </is>
      </c>
      <c r="B612" s="1" t="n">
        <v>45821</v>
      </c>
      <c r="C612" s="1" t="n">
        <v>46035</v>
      </c>
      <c r="D612" t="inlineStr">
        <is>
          <t>VÄRMLANDS LÄN</t>
        </is>
      </c>
      <c r="E612" t="inlineStr">
        <is>
          <t>ÅRJÄNG</t>
        </is>
      </c>
      <c r="F612" t="inlineStr">
        <is>
          <t>Bergvik skog väst AB</t>
        </is>
      </c>
      <c r="G612" t="n">
        <v>2.2</v>
      </c>
      <c r="H612" t="n">
        <v>0</v>
      </c>
      <c r="I612" t="n">
        <v>0</v>
      </c>
      <c r="J612" t="n">
        <v>0</v>
      </c>
      <c r="K612" t="n">
        <v>0</v>
      </c>
      <c r="L612" t="n">
        <v>0</v>
      </c>
      <c r="M612" t="n">
        <v>0</v>
      </c>
      <c r="N612" t="n">
        <v>0</v>
      </c>
      <c r="O612" t="n">
        <v>0</v>
      </c>
      <c r="P612" t="n">
        <v>0</v>
      </c>
      <c r="Q612" t="n">
        <v>0</v>
      </c>
      <c r="R612" s="2" t="inlineStr"/>
    </row>
    <row r="613" ht="15" customHeight="1">
      <c r="A613" t="inlineStr">
        <is>
          <t>A 29208-2025</t>
        </is>
      </c>
      <c r="B613" s="1" t="n">
        <v>45823.80380787037</v>
      </c>
      <c r="C613" s="1" t="n">
        <v>46035</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59384-2023</t>
        </is>
      </c>
      <c r="B614" s="1" t="n">
        <v>45253</v>
      </c>
      <c r="C614" s="1" t="n">
        <v>46035</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29169-2025</t>
        </is>
      </c>
      <c r="B615" s="1" t="n">
        <v>45821.69650462963</v>
      </c>
      <c r="C615" s="1" t="n">
        <v>46035</v>
      </c>
      <c r="D615" t="inlineStr">
        <is>
          <t>VÄRMLANDS LÄN</t>
        </is>
      </c>
      <c r="E615" t="inlineStr">
        <is>
          <t>ÅRJÄNG</t>
        </is>
      </c>
      <c r="G615" t="n">
        <v>3.6</v>
      </c>
      <c r="H615" t="n">
        <v>0</v>
      </c>
      <c r="I615" t="n">
        <v>0</v>
      </c>
      <c r="J615" t="n">
        <v>0</v>
      </c>
      <c r="K615" t="n">
        <v>0</v>
      </c>
      <c r="L615" t="n">
        <v>0</v>
      </c>
      <c r="M615" t="n">
        <v>0</v>
      </c>
      <c r="N615" t="n">
        <v>0</v>
      </c>
      <c r="O615" t="n">
        <v>0</v>
      </c>
      <c r="P615" t="n">
        <v>0</v>
      </c>
      <c r="Q615" t="n">
        <v>0</v>
      </c>
      <c r="R615" s="2" t="inlineStr"/>
    </row>
    <row r="616" ht="15" customHeight="1">
      <c r="A616" t="inlineStr">
        <is>
          <t>A 29100-2025</t>
        </is>
      </c>
      <c r="B616" s="1" t="n">
        <v>45821</v>
      </c>
      <c r="C616" s="1" t="n">
        <v>46035</v>
      </c>
      <c r="D616" t="inlineStr">
        <is>
          <t>VÄRMLANDS LÄN</t>
        </is>
      </c>
      <c r="E616" t="inlineStr">
        <is>
          <t>ÅRJÄNG</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29139-2025</t>
        </is>
      </c>
      <c r="B617" s="1" t="n">
        <v>45821</v>
      </c>
      <c r="C617" s="1" t="n">
        <v>46035</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15718-2023</t>
        </is>
      </c>
      <c r="B618" s="1" t="n">
        <v>45021.55432870371</v>
      </c>
      <c r="C618" s="1" t="n">
        <v>46035</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30134-2025</t>
        </is>
      </c>
      <c r="B619" s="1" t="n">
        <v>45826</v>
      </c>
      <c r="C619" s="1" t="n">
        <v>46035</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29783-2025</t>
        </is>
      </c>
      <c r="B620" s="1" t="n">
        <v>45825</v>
      </c>
      <c r="C620" s="1" t="n">
        <v>46035</v>
      </c>
      <c r="D620" t="inlineStr">
        <is>
          <t>VÄRMLANDS LÄN</t>
        </is>
      </c>
      <c r="E620" t="inlineStr">
        <is>
          <t>ÅRJÄNG</t>
        </is>
      </c>
      <c r="G620" t="n">
        <v>3</v>
      </c>
      <c r="H620" t="n">
        <v>0</v>
      </c>
      <c r="I620" t="n">
        <v>0</v>
      </c>
      <c r="J620" t="n">
        <v>0</v>
      </c>
      <c r="K620" t="n">
        <v>0</v>
      </c>
      <c r="L620" t="n">
        <v>0</v>
      </c>
      <c r="M620" t="n">
        <v>0</v>
      </c>
      <c r="N620" t="n">
        <v>0</v>
      </c>
      <c r="O620" t="n">
        <v>0</v>
      </c>
      <c r="P620" t="n">
        <v>0</v>
      </c>
      <c r="Q620" t="n">
        <v>0</v>
      </c>
      <c r="R620" s="2" t="inlineStr"/>
    </row>
    <row r="621" ht="15" customHeight="1">
      <c r="A621" t="inlineStr">
        <is>
          <t>A 50050-2025</t>
        </is>
      </c>
      <c r="B621" s="1" t="n">
        <v>45942</v>
      </c>
      <c r="C621" s="1" t="n">
        <v>46035</v>
      </c>
      <c r="D621" t="inlineStr">
        <is>
          <t>VÄRMLANDS LÄN</t>
        </is>
      </c>
      <c r="E621" t="inlineStr">
        <is>
          <t>ÅRJÄNG</t>
        </is>
      </c>
      <c r="F621" t="inlineStr">
        <is>
          <t>Övriga Aktiebolag</t>
        </is>
      </c>
      <c r="G621" t="n">
        <v>2.9</v>
      </c>
      <c r="H621" t="n">
        <v>0</v>
      </c>
      <c r="I621" t="n">
        <v>0</v>
      </c>
      <c r="J621" t="n">
        <v>0</v>
      </c>
      <c r="K621" t="n">
        <v>0</v>
      </c>
      <c r="L621" t="n">
        <v>0</v>
      </c>
      <c r="M621" t="n">
        <v>0</v>
      </c>
      <c r="N621" t="n">
        <v>0</v>
      </c>
      <c r="O621" t="n">
        <v>0</v>
      </c>
      <c r="P621" t="n">
        <v>0</v>
      </c>
      <c r="Q621" t="n">
        <v>0</v>
      </c>
      <c r="R621" s="2" t="inlineStr"/>
    </row>
    <row r="622" ht="15" customHeight="1">
      <c r="A622" t="inlineStr">
        <is>
          <t>A 48911-2024</t>
        </is>
      </c>
      <c r="B622" s="1" t="n">
        <v>45594.36512731481</v>
      </c>
      <c r="C622" s="1" t="n">
        <v>46035</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8215-2025</t>
        </is>
      </c>
      <c r="B623" s="1" t="n">
        <v>45708.44832175926</v>
      </c>
      <c r="C623" s="1" t="n">
        <v>46035</v>
      </c>
      <c r="D623" t="inlineStr">
        <is>
          <t>VÄRMLANDS LÄN</t>
        </is>
      </c>
      <c r="E623" t="inlineStr">
        <is>
          <t>ÅRJÄNG</t>
        </is>
      </c>
      <c r="G623" t="n">
        <v>1.9</v>
      </c>
      <c r="H623" t="n">
        <v>0</v>
      </c>
      <c r="I623" t="n">
        <v>0</v>
      </c>
      <c r="J623" t="n">
        <v>0</v>
      </c>
      <c r="K623" t="n">
        <v>0</v>
      </c>
      <c r="L623" t="n">
        <v>0</v>
      </c>
      <c r="M623" t="n">
        <v>0</v>
      </c>
      <c r="N623" t="n">
        <v>0</v>
      </c>
      <c r="O623" t="n">
        <v>0</v>
      </c>
      <c r="P623" t="n">
        <v>0</v>
      </c>
      <c r="Q623" t="n">
        <v>0</v>
      </c>
      <c r="R623" s="2" t="inlineStr"/>
    </row>
    <row r="624" ht="15" customHeight="1">
      <c r="A624" t="inlineStr">
        <is>
          <t>A 8230-2025</t>
        </is>
      </c>
      <c r="B624" s="1" t="n">
        <v>45708.47010416666</v>
      </c>
      <c r="C624" s="1" t="n">
        <v>46035</v>
      </c>
      <c r="D624" t="inlineStr">
        <is>
          <t>VÄRMLANDS LÄN</t>
        </is>
      </c>
      <c r="E624" t="inlineStr">
        <is>
          <t>ÅRJÄNG</t>
        </is>
      </c>
      <c r="G624" t="n">
        <v>2.5</v>
      </c>
      <c r="H624" t="n">
        <v>0</v>
      </c>
      <c r="I624" t="n">
        <v>0</v>
      </c>
      <c r="J624" t="n">
        <v>0</v>
      </c>
      <c r="K624" t="n">
        <v>0</v>
      </c>
      <c r="L624" t="n">
        <v>0</v>
      </c>
      <c r="M624" t="n">
        <v>0</v>
      </c>
      <c r="N624" t="n">
        <v>0</v>
      </c>
      <c r="O624" t="n">
        <v>0</v>
      </c>
      <c r="P624" t="n">
        <v>0</v>
      </c>
      <c r="Q624" t="n">
        <v>0</v>
      </c>
      <c r="R624" s="2" t="inlineStr"/>
    </row>
    <row r="625" ht="15" customHeight="1">
      <c r="A625" t="inlineStr">
        <is>
          <t>A 29624-2025</t>
        </is>
      </c>
      <c r="B625" s="1" t="n">
        <v>45825.44246527777</v>
      </c>
      <c r="C625" s="1" t="n">
        <v>46035</v>
      </c>
      <c r="D625" t="inlineStr">
        <is>
          <t>VÄRMLANDS LÄN</t>
        </is>
      </c>
      <c r="E625" t="inlineStr">
        <is>
          <t>ÅRJÄNG</t>
        </is>
      </c>
      <c r="G625" t="n">
        <v>6.2</v>
      </c>
      <c r="H625" t="n">
        <v>0</v>
      </c>
      <c r="I625" t="n">
        <v>0</v>
      </c>
      <c r="J625" t="n">
        <v>0</v>
      </c>
      <c r="K625" t="n">
        <v>0</v>
      </c>
      <c r="L625" t="n">
        <v>0</v>
      </c>
      <c r="M625" t="n">
        <v>0</v>
      </c>
      <c r="N625" t="n">
        <v>0</v>
      </c>
      <c r="O625" t="n">
        <v>0</v>
      </c>
      <c r="P625" t="n">
        <v>0</v>
      </c>
      <c r="Q625" t="n">
        <v>0</v>
      </c>
      <c r="R625" s="2" t="inlineStr"/>
    </row>
    <row r="626" ht="15" customHeight="1">
      <c r="A626" t="inlineStr">
        <is>
          <t>A 50304-2025</t>
        </is>
      </c>
      <c r="B626" s="1" t="n">
        <v>45944</v>
      </c>
      <c r="C626" s="1" t="n">
        <v>46035</v>
      </c>
      <c r="D626" t="inlineStr">
        <is>
          <t>VÄRMLANDS LÄN</t>
        </is>
      </c>
      <c r="E626" t="inlineStr">
        <is>
          <t>ÅRJÄNG</t>
        </is>
      </c>
      <c r="G626" t="n">
        <v>4.7</v>
      </c>
      <c r="H626" t="n">
        <v>0</v>
      </c>
      <c r="I626" t="n">
        <v>0</v>
      </c>
      <c r="J626" t="n">
        <v>0</v>
      </c>
      <c r="K626" t="n">
        <v>0</v>
      </c>
      <c r="L626" t="n">
        <v>0</v>
      </c>
      <c r="M626" t="n">
        <v>0</v>
      </c>
      <c r="N626" t="n">
        <v>0</v>
      </c>
      <c r="O626" t="n">
        <v>0</v>
      </c>
      <c r="P626" t="n">
        <v>0</v>
      </c>
      <c r="Q626" t="n">
        <v>0</v>
      </c>
      <c r="R626" s="2" t="inlineStr"/>
    </row>
    <row r="627" ht="15" customHeight="1">
      <c r="A627" t="inlineStr">
        <is>
          <t>A 40346-2024</t>
        </is>
      </c>
      <c r="B627" s="1" t="n">
        <v>45555.34840277778</v>
      </c>
      <c r="C627" s="1" t="n">
        <v>46035</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49785-2024</t>
        </is>
      </c>
      <c r="B628" s="1" t="n">
        <v>45597.35758101852</v>
      </c>
      <c r="C628" s="1" t="n">
        <v>46035</v>
      </c>
      <c r="D628" t="inlineStr">
        <is>
          <t>VÄRMLANDS LÄN</t>
        </is>
      </c>
      <c r="E628" t="inlineStr">
        <is>
          <t>ÅRJÄNG</t>
        </is>
      </c>
      <c r="G628" t="n">
        <v>0.6</v>
      </c>
      <c r="H628" t="n">
        <v>0</v>
      </c>
      <c r="I628" t="n">
        <v>0</v>
      </c>
      <c r="J628" t="n">
        <v>0</v>
      </c>
      <c r="K628" t="n">
        <v>0</v>
      </c>
      <c r="L628" t="n">
        <v>0</v>
      </c>
      <c r="M628" t="n">
        <v>0</v>
      </c>
      <c r="N628" t="n">
        <v>0</v>
      </c>
      <c r="O628" t="n">
        <v>0</v>
      </c>
      <c r="P628" t="n">
        <v>0</v>
      </c>
      <c r="Q628" t="n">
        <v>0</v>
      </c>
      <c r="R628" s="2" t="inlineStr"/>
    </row>
    <row r="629" ht="15" customHeight="1">
      <c r="A629" t="inlineStr">
        <is>
          <t>A 10239-2023</t>
        </is>
      </c>
      <c r="B629" s="1" t="n">
        <v>44986</v>
      </c>
      <c r="C629" s="1" t="n">
        <v>46035</v>
      </c>
      <c r="D629" t="inlineStr">
        <is>
          <t>VÄRMLANDS LÄN</t>
        </is>
      </c>
      <c r="E629" t="inlineStr">
        <is>
          <t>ÅRJÄNG</t>
        </is>
      </c>
      <c r="G629" t="n">
        <v>5.4</v>
      </c>
      <c r="H629" t="n">
        <v>0</v>
      </c>
      <c r="I629" t="n">
        <v>0</v>
      </c>
      <c r="J629" t="n">
        <v>0</v>
      </c>
      <c r="K629" t="n">
        <v>0</v>
      </c>
      <c r="L629" t="n">
        <v>0</v>
      </c>
      <c r="M629" t="n">
        <v>0</v>
      </c>
      <c r="N629" t="n">
        <v>0</v>
      </c>
      <c r="O629" t="n">
        <v>0</v>
      </c>
      <c r="P629" t="n">
        <v>0</v>
      </c>
      <c r="Q629" t="n">
        <v>0</v>
      </c>
      <c r="R629" s="2" t="inlineStr"/>
    </row>
    <row r="630" ht="15" customHeight="1">
      <c r="A630" t="inlineStr">
        <is>
          <t>A 46957-2024</t>
        </is>
      </c>
      <c r="B630" s="1" t="n">
        <v>45586</v>
      </c>
      <c r="C630" s="1" t="n">
        <v>46035</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29792-2022</t>
        </is>
      </c>
      <c r="B631" s="1" t="n">
        <v>44755.67122685185</v>
      </c>
      <c r="C631" s="1" t="n">
        <v>46035</v>
      </c>
      <c r="D631" t="inlineStr">
        <is>
          <t>VÄRMLANDS LÄN</t>
        </is>
      </c>
      <c r="E631" t="inlineStr">
        <is>
          <t>ÅRJÄNG</t>
        </is>
      </c>
      <c r="G631" t="n">
        <v>1.9</v>
      </c>
      <c r="H631" t="n">
        <v>0</v>
      </c>
      <c r="I631" t="n">
        <v>0</v>
      </c>
      <c r="J631" t="n">
        <v>0</v>
      </c>
      <c r="K631" t="n">
        <v>0</v>
      </c>
      <c r="L631" t="n">
        <v>0</v>
      </c>
      <c r="M631" t="n">
        <v>0</v>
      </c>
      <c r="N631" t="n">
        <v>0</v>
      </c>
      <c r="O631" t="n">
        <v>0</v>
      </c>
      <c r="P631" t="n">
        <v>0</v>
      </c>
      <c r="Q631" t="n">
        <v>0</v>
      </c>
      <c r="R631" s="2" t="inlineStr"/>
    </row>
    <row r="632" ht="15" customHeight="1">
      <c r="A632" t="inlineStr">
        <is>
          <t>A 50931-2025</t>
        </is>
      </c>
      <c r="B632" s="1" t="n">
        <v>45946.68568287037</v>
      </c>
      <c r="C632" s="1" t="n">
        <v>46035</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50624-2025</t>
        </is>
      </c>
      <c r="B633" s="1" t="n">
        <v>45945.63518518519</v>
      </c>
      <c r="C633" s="1" t="n">
        <v>46035</v>
      </c>
      <c r="D633" t="inlineStr">
        <is>
          <t>VÄRMLANDS LÄN</t>
        </is>
      </c>
      <c r="E633" t="inlineStr">
        <is>
          <t>ÅRJÄNG</t>
        </is>
      </c>
      <c r="G633" t="n">
        <v>3.4</v>
      </c>
      <c r="H633" t="n">
        <v>0</v>
      </c>
      <c r="I633" t="n">
        <v>0</v>
      </c>
      <c r="J633" t="n">
        <v>0</v>
      </c>
      <c r="K633" t="n">
        <v>0</v>
      </c>
      <c r="L633" t="n">
        <v>0</v>
      </c>
      <c r="M633" t="n">
        <v>0</v>
      </c>
      <c r="N633" t="n">
        <v>0</v>
      </c>
      <c r="O633" t="n">
        <v>0</v>
      </c>
      <c r="P633" t="n">
        <v>0</v>
      </c>
      <c r="Q633" t="n">
        <v>0</v>
      </c>
      <c r="R633" s="2" t="inlineStr"/>
    </row>
    <row r="634" ht="15" customHeight="1">
      <c r="A634" t="inlineStr">
        <is>
          <t>A 50841-2025</t>
        </is>
      </c>
      <c r="B634" s="1" t="n">
        <v>45946.57050925926</v>
      </c>
      <c r="C634" s="1" t="n">
        <v>46035</v>
      </c>
      <c r="D634" t="inlineStr">
        <is>
          <t>VÄRMLANDS LÄN</t>
        </is>
      </c>
      <c r="E634" t="inlineStr">
        <is>
          <t>ÅRJÄNG</t>
        </is>
      </c>
      <c r="F634" t="inlineStr">
        <is>
          <t>Kyrkan</t>
        </is>
      </c>
      <c r="G634" t="n">
        <v>2.4</v>
      </c>
      <c r="H634" t="n">
        <v>0</v>
      </c>
      <c r="I634" t="n">
        <v>0</v>
      </c>
      <c r="J634" t="n">
        <v>0</v>
      </c>
      <c r="K634" t="n">
        <v>0</v>
      </c>
      <c r="L634" t="n">
        <v>0</v>
      </c>
      <c r="M634" t="n">
        <v>0</v>
      </c>
      <c r="N634" t="n">
        <v>0</v>
      </c>
      <c r="O634" t="n">
        <v>0</v>
      </c>
      <c r="P634" t="n">
        <v>0</v>
      </c>
      <c r="Q634" t="n">
        <v>0</v>
      </c>
      <c r="R634" s="2" t="inlineStr"/>
    </row>
    <row r="635" ht="15" customHeight="1">
      <c r="A635" t="inlineStr">
        <is>
          <t>A 50847-2025</t>
        </is>
      </c>
      <c r="B635" s="1" t="n">
        <v>45946.57590277777</v>
      </c>
      <c r="C635" s="1" t="n">
        <v>46035</v>
      </c>
      <c r="D635" t="inlineStr">
        <is>
          <t>VÄRMLANDS LÄN</t>
        </is>
      </c>
      <c r="E635" t="inlineStr">
        <is>
          <t>ÅRJÄNG</t>
        </is>
      </c>
      <c r="F635" t="inlineStr">
        <is>
          <t>Kyrkan</t>
        </is>
      </c>
      <c r="G635" t="n">
        <v>4.3</v>
      </c>
      <c r="H635" t="n">
        <v>0</v>
      </c>
      <c r="I635" t="n">
        <v>0</v>
      </c>
      <c r="J635" t="n">
        <v>0</v>
      </c>
      <c r="K635" t="n">
        <v>0</v>
      </c>
      <c r="L635" t="n">
        <v>0</v>
      </c>
      <c r="M635" t="n">
        <v>0</v>
      </c>
      <c r="N635" t="n">
        <v>0</v>
      </c>
      <c r="O635" t="n">
        <v>0</v>
      </c>
      <c r="P635" t="n">
        <v>0</v>
      </c>
      <c r="Q635" t="n">
        <v>0</v>
      </c>
      <c r="R635" s="2" t="inlineStr"/>
    </row>
    <row r="636" ht="15" customHeight="1">
      <c r="A636" t="inlineStr">
        <is>
          <t>A 30346-2022</t>
        </is>
      </c>
      <c r="B636" s="1" t="n">
        <v>44760.55734953703</v>
      </c>
      <c r="C636" s="1" t="n">
        <v>46035</v>
      </c>
      <c r="D636" t="inlineStr">
        <is>
          <t>VÄRMLANDS LÄN</t>
        </is>
      </c>
      <c r="E636" t="inlineStr">
        <is>
          <t>ÅRJÄNG</t>
        </is>
      </c>
      <c r="G636" t="n">
        <v>6</v>
      </c>
      <c r="H636" t="n">
        <v>0</v>
      </c>
      <c r="I636" t="n">
        <v>0</v>
      </c>
      <c r="J636" t="n">
        <v>0</v>
      </c>
      <c r="K636" t="n">
        <v>0</v>
      </c>
      <c r="L636" t="n">
        <v>0</v>
      </c>
      <c r="M636" t="n">
        <v>0</v>
      </c>
      <c r="N636" t="n">
        <v>0</v>
      </c>
      <c r="O636" t="n">
        <v>0</v>
      </c>
      <c r="P636" t="n">
        <v>0</v>
      </c>
      <c r="Q636" t="n">
        <v>0</v>
      </c>
      <c r="R636" s="2" t="inlineStr"/>
    </row>
    <row r="637" ht="15" customHeight="1">
      <c r="A637" t="inlineStr">
        <is>
          <t>A 10126-2023</t>
        </is>
      </c>
      <c r="B637" s="1" t="n">
        <v>44980</v>
      </c>
      <c r="C637" s="1" t="n">
        <v>46035</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34889-2022</t>
        </is>
      </c>
      <c r="B638" s="1" t="n">
        <v>44796</v>
      </c>
      <c r="C638" s="1" t="n">
        <v>46035</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14310-2022</t>
        </is>
      </c>
      <c r="B639" s="1" t="n">
        <v>44652</v>
      </c>
      <c r="C639" s="1" t="n">
        <v>46035</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31111-2025</t>
        </is>
      </c>
      <c r="B640" s="1" t="n">
        <v>45831</v>
      </c>
      <c r="C640" s="1" t="n">
        <v>46035</v>
      </c>
      <c r="D640" t="inlineStr">
        <is>
          <t>VÄRMLANDS LÄN</t>
        </is>
      </c>
      <c r="E640" t="inlineStr">
        <is>
          <t>ÅRJÄNG</t>
        </is>
      </c>
      <c r="G640" t="n">
        <v>6</v>
      </c>
      <c r="H640" t="n">
        <v>0</v>
      </c>
      <c r="I640" t="n">
        <v>0</v>
      </c>
      <c r="J640" t="n">
        <v>0</v>
      </c>
      <c r="K640" t="n">
        <v>0</v>
      </c>
      <c r="L640" t="n">
        <v>0</v>
      </c>
      <c r="M640" t="n">
        <v>0</v>
      </c>
      <c r="N640" t="n">
        <v>0</v>
      </c>
      <c r="O640" t="n">
        <v>0</v>
      </c>
      <c r="P640" t="n">
        <v>0</v>
      </c>
      <c r="Q640" t="n">
        <v>0</v>
      </c>
      <c r="R640" s="2" t="inlineStr"/>
    </row>
    <row r="641" ht="15" customHeight="1">
      <c r="A641" t="inlineStr">
        <is>
          <t>A 30761-2025</t>
        </is>
      </c>
      <c r="B641" s="1" t="n">
        <v>45831</v>
      </c>
      <c r="C641" s="1" t="n">
        <v>46035</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30579-2025</t>
        </is>
      </c>
      <c r="B642" s="1" t="n">
        <v>45831.41965277777</v>
      </c>
      <c r="C642" s="1" t="n">
        <v>46035</v>
      </c>
      <c r="D642" t="inlineStr">
        <is>
          <t>VÄRMLANDS LÄN</t>
        </is>
      </c>
      <c r="E642" t="inlineStr">
        <is>
          <t>ÅRJÄNG</t>
        </is>
      </c>
      <c r="G642" t="n">
        <v>2.4</v>
      </c>
      <c r="H642" t="n">
        <v>0</v>
      </c>
      <c r="I642" t="n">
        <v>0</v>
      </c>
      <c r="J642" t="n">
        <v>0</v>
      </c>
      <c r="K642" t="n">
        <v>0</v>
      </c>
      <c r="L642" t="n">
        <v>0</v>
      </c>
      <c r="M642" t="n">
        <v>0</v>
      </c>
      <c r="N642" t="n">
        <v>0</v>
      </c>
      <c r="O642" t="n">
        <v>0</v>
      </c>
      <c r="P642" t="n">
        <v>0</v>
      </c>
      <c r="Q642" t="n">
        <v>0</v>
      </c>
      <c r="R642" s="2" t="inlineStr"/>
    </row>
    <row r="643" ht="15" customHeight="1">
      <c r="A643" t="inlineStr">
        <is>
          <t>A 24444-2025</t>
        </is>
      </c>
      <c r="B643" s="1" t="n">
        <v>45798</v>
      </c>
      <c r="C643" s="1" t="n">
        <v>46035</v>
      </c>
      <c r="D643" t="inlineStr">
        <is>
          <t>VÄRMLANDS LÄN</t>
        </is>
      </c>
      <c r="E643" t="inlineStr">
        <is>
          <t>ÅRJÄNG</t>
        </is>
      </c>
      <c r="G643" t="n">
        <v>5.1</v>
      </c>
      <c r="H643" t="n">
        <v>0</v>
      </c>
      <c r="I643" t="n">
        <v>0</v>
      </c>
      <c r="J643" t="n">
        <v>0</v>
      </c>
      <c r="K643" t="n">
        <v>0</v>
      </c>
      <c r="L643" t="n">
        <v>0</v>
      </c>
      <c r="M643" t="n">
        <v>0</v>
      </c>
      <c r="N643" t="n">
        <v>0</v>
      </c>
      <c r="O643" t="n">
        <v>0</v>
      </c>
      <c r="P643" t="n">
        <v>0</v>
      </c>
      <c r="Q643" t="n">
        <v>0</v>
      </c>
      <c r="R643" s="2" t="inlineStr"/>
    </row>
    <row r="644" ht="15" customHeight="1">
      <c r="A644" t="inlineStr">
        <is>
          <t>A 30611-2025</t>
        </is>
      </c>
      <c r="B644" s="1" t="n">
        <v>45831.46104166667</v>
      </c>
      <c r="C644" s="1" t="n">
        <v>46035</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50620-2025</t>
        </is>
      </c>
      <c r="B645" s="1" t="n">
        <v>45945.63163194444</v>
      </c>
      <c r="C645" s="1" t="n">
        <v>46035</v>
      </c>
      <c r="D645" t="inlineStr">
        <is>
          <t>VÄRMLANDS LÄN</t>
        </is>
      </c>
      <c r="E645" t="inlineStr">
        <is>
          <t>ÅRJÄNG</t>
        </is>
      </c>
      <c r="G645" t="n">
        <v>7.7</v>
      </c>
      <c r="H645" t="n">
        <v>0</v>
      </c>
      <c r="I645" t="n">
        <v>0</v>
      </c>
      <c r="J645" t="n">
        <v>0</v>
      </c>
      <c r="K645" t="n">
        <v>0</v>
      </c>
      <c r="L645" t="n">
        <v>0</v>
      </c>
      <c r="M645" t="n">
        <v>0</v>
      </c>
      <c r="N645" t="n">
        <v>0</v>
      </c>
      <c r="O645" t="n">
        <v>0</v>
      </c>
      <c r="P645" t="n">
        <v>0</v>
      </c>
      <c r="Q645" t="n">
        <v>0</v>
      </c>
      <c r="R645" s="2" t="inlineStr"/>
    </row>
    <row r="646" ht="15" customHeight="1">
      <c r="A646" t="inlineStr">
        <is>
          <t>A 30658-2025</t>
        </is>
      </c>
      <c r="B646" s="1" t="n">
        <v>45831.5072337963</v>
      </c>
      <c r="C646" s="1" t="n">
        <v>46035</v>
      </c>
      <c r="D646" t="inlineStr">
        <is>
          <t>VÄRMLANDS LÄN</t>
        </is>
      </c>
      <c r="E646" t="inlineStr">
        <is>
          <t>ÅRJÄNG</t>
        </is>
      </c>
      <c r="G646" t="n">
        <v>11</v>
      </c>
      <c r="H646" t="n">
        <v>0</v>
      </c>
      <c r="I646" t="n">
        <v>0</v>
      </c>
      <c r="J646" t="n">
        <v>0</v>
      </c>
      <c r="K646" t="n">
        <v>0</v>
      </c>
      <c r="L646" t="n">
        <v>0</v>
      </c>
      <c r="M646" t="n">
        <v>0</v>
      </c>
      <c r="N646" t="n">
        <v>0</v>
      </c>
      <c r="O646" t="n">
        <v>0</v>
      </c>
      <c r="P646" t="n">
        <v>0</v>
      </c>
      <c r="Q646" t="n">
        <v>0</v>
      </c>
      <c r="R646" s="2" t="inlineStr"/>
    </row>
    <row r="647" ht="15" customHeight="1">
      <c r="A647" t="inlineStr">
        <is>
          <t>A 14917-2024</t>
        </is>
      </c>
      <c r="B647" s="1" t="n">
        <v>45398</v>
      </c>
      <c r="C647" s="1" t="n">
        <v>46035</v>
      </c>
      <c r="D647" t="inlineStr">
        <is>
          <t>VÄRMLANDS LÄN</t>
        </is>
      </c>
      <c r="E647" t="inlineStr">
        <is>
          <t>ÅRJÄNG</t>
        </is>
      </c>
      <c r="G647" t="n">
        <v>19.9</v>
      </c>
      <c r="H647" t="n">
        <v>0</v>
      </c>
      <c r="I647" t="n">
        <v>0</v>
      </c>
      <c r="J647" t="n">
        <v>0</v>
      </c>
      <c r="K647" t="n">
        <v>0</v>
      </c>
      <c r="L647" t="n">
        <v>0</v>
      </c>
      <c r="M647" t="n">
        <v>0</v>
      </c>
      <c r="N647" t="n">
        <v>0</v>
      </c>
      <c r="O647" t="n">
        <v>0</v>
      </c>
      <c r="P647" t="n">
        <v>0</v>
      </c>
      <c r="Q647" t="n">
        <v>0</v>
      </c>
      <c r="R647" s="2" t="inlineStr"/>
    </row>
    <row r="648" ht="15" customHeight="1">
      <c r="A648" t="inlineStr">
        <is>
          <t>A 53793-2024</t>
        </is>
      </c>
      <c r="B648" s="1" t="n">
        <v>45615</v>
      </c>
      <c r="C648" s="1" t="n">
        <v>46035</v>
      </c>
      <c r="D648" t="inlineStr">
        <is>
          <t>VÄRMLANDS LÄN</t>
        </is>
      </c>
      <c r="E648" t="inlineStr">
        <is>
          <t>ÅRJÄNG</t>
        </is>
      </c>
      <c r="G648" t="n">
        <v>4.9</v>
      </c>
      <c r="H648" t="n">
        <v>0</v>
      </c>
      <c r="I648" t="n">
        <v>0</v>
      </c>
      <c r="J648" t="n">
        <v>0</v>
      </c>
      <c r="K648" t="n">
        <v>0</v>
      </c>
      <c r="L648" t="n">
        <v>0</v>
      </c>
      <c r="M648" t="n">
        <v>0</v>
      </c>
      <c r="N648" t="n">
        <v>0</v>
      </c>
      <c r="O648" t="n">
        <v>0</v>
      </c>
      <c r="P648" t="n">
        <v>0</v>
      </c>
      <c r="Q648" t="n">
        <v>0</v>
      </c>
      <c r="R648" s="2" t="inlineStr"/>
    </row>
    <row r="649" ht="15" customHeight="1">
      <c r="A649" t="inlineStr">
        <is>
          <t>A 31063-2025</t>
        </is>
      </c>
      <c r="B649" s="1" t="n">
        <v>45831</v>
      </c>
      <c r="C649" s="1" t="n">
        <v>46035</v>
      </c>
      <c r="D649" t="inlineStr">
        <is>
          <t>VÄRMLANDS LÄN</t>
        </is>
      </c>
      <c r="E649" t="inlineStr">
        <is>
          <t>ÅRJÄNG</t>
        </is>
      </c>
      <c r="G649" t="n">
        <v>0.6</v>
      </c>
      <c r="H649" t="n">
        <v>0</v>
      </c>
      <c r="I649" t="n">
        <v>0</v>
      </c>
      <c r="J649" t="n">
        <v>0</v>
      </c>
      <c r="K649" t="n">
        <v>0</v>
      </c>
      <c r="L649" t="n">
        <v>0</v>
      </c>
      <c r="M649" t="n">
        <v>0</v>
      </c>
      <c r="N649" t="n">
        <v>0</v>
      </c>
      <c r="O649" t="n">
        <v>0</v>
      </c>
      <c r="P649" t="n">
        <v>0</v>
      </c>
      <c r="Q649" t="n">
        <v>0</v>
      </c>
      <c r="R649" s="2" t="inlineStr"/>
    </row>
    <row r="650" ht="15" customHeight="1">
      <c r="A650" t="inlineStr">
        <is>
          <t>A 31073-2025</t>
        </is>
      </c>
      <c r="B650" s="1" t="n">
        <v>45831</v>
      </c>
      <c r="C650" s="1" t="n">
        <v>46035</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50554-2025</t>
        </is>
      </c>
      <c r="B651" s="1" t="n">
        <v>45945.52561342593</v>
      </c>
      <c r="C651" s="1" t="n">
        <v>46035</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15537-2024</t>
        </is>
      </c>
      <c r="B652" s="1" t="n">
        <v>45401</v>
      </c>
      <c r="C652" s="1" t="n">
        <v>46035</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60975-2022</t>
        </is>
      </c>
      <c r="B653" s="1" t="n">
        <v>44914</v>
      </c>
      <c r="C653" s="1" t="n">
        <v>46035</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39156-2024</t>
        </is>
      </c>
      <c r="B654" s="1" t="n">
        <v>45548.62956018518</v>
      </c>
      <c r="C654" s="1" t="n">
        <v>46035</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24445-2025</t>
        </is>
      </c>
      <c r="B655" s="1" t="n">
        <v>45798</v>
      </c>
      <c r="C655" s="1" t="n">
        <v>46035</v>
      </c>
      <c r="D655" t="inlineStr">
        <is>
          <t>VÄRMLANDS LÄN</t>
        </is>
      </c>
      <c r="E655" t="inlineStr">
        <is>
          <t>ÅRJÄNG</t>
        </is>
      </c>
      <c r="G655" t="n">
        <v>6.4</v>
      </c>
      <c r="H655" t="n">
        <v>0</v>
      </c>
      <c r="I655" t="n">
        <v>0</v>
      </c>
      <c r="J655" t="n">
        <v>0</v>
      </c>
      <c r="K655" t="n">
        <v>0</v>
      </c>
      <c r="L655" t="n">
        <v>0</v>
      </c>
      <c r="M655" t="n">
        <v>0</v>
      </c>
      <c r="N655" t="n">
        <v>0</v>
      </c>
      <c r="O655" t="n">
        <v>0</v>
      </c>
      <c r="P655" t="n">
        <v>0</v>
      </c>
      <c r="Q655" t="n">
        <v>0</v>
      </c>
      <c r="R655" s="2" t="inlineStr"/>
    </row>
    <row r="656" ht="15" customHeight="1">
      <c r="A656" t="inlineStr">
        <is>
          <t>A 30604-2025</t>
        </is>
      </c>
      <c r="B656" s="1" t="n">
        <v>45831.45185185185</v>
      </c>
      <c r="C656" s="1" t="n">
        <v>46035</v>
      </c>
      <c r="D656" t="inlineStr">
        <is>
          <t>VÄRMLANDS LÄN</t>
        </is>
      </c>
      <c r="E656" t="inlineStr">
        <is>
          <t>ÅRJÄNG</t>
        </is>
      </c>
      <c r="G656" t="n">
        <v>6.5</v>
      </c>
      <c r="H656" t="n">
        <v>0</v>
      </c>
      <c r="I656" t="n">
        <v>0</v>
      </c>
      <c r="J656" t="n">
        <v>0</v>
      </c>
      <c r="K656" t="n">
        <v>0</v>
      </c>
      <c r="L656" t="n">
        <v>0</v>
      </c>
      <c r="M656" t="n">
        <v>0</v>
      </c>
      <c r="N656" t="n">
        <v>0</v>
      </c>
      <c r="O656" t="n">
        <v>0</v>
      </c>
      <c r="P656" t="n">
        <v>0</v>
      </c>
      <c r="Q656" t="n">
        <v>0</v>
      </c>
      <c r="R656" s="2" t="inlineStr"/>
    </row>
    <row r="657" ht="15" customHeight="1">
      <c r="A657" t="inlineStr">
        <is>
          <t>A 50709-2025</t>
        </is>
      </c>
      <c r="B657" s="1" t="n">
        <v>45946</v>
      </c>
      <c r="C657" s="1" t="n">
        <v>46035</v>
      </c>
      <c r="D657" t="inlineStr">
        <is>
          <t>VÄRMLANDS LÄN</t>
        </is>
      </c>
      <c r="E657" t="inlineStr">
        <is>
          <t>ÅRJÄNG</t>
        </is>
      </c>
      <c r="G657" t="n">
        <v>3.3</v>
      </c>
      <c r="H657" t="n">
        <v>0</v>
      </c>
      <c r="I657" t="n">
        <v>0</v>
      </c>
      <c r="J657" t="n">
        <v>0</v>
      </c>
      <c r="K657" t="n">
        <v>0</v>
      </c>
      <c r="L657" t="n">
        <v>0</v>
      </c>
      <c r="M657" t="n">
        <v>0</v>
      </c>
      <c r="N657" t="n">
        <v>0</v>
      </c>
      <c r="O657" t="n">
        <v>0</v>
      </c>
      <c r="P657" t="n">
        <v>0</v>
      </c>
      <c r="Q657" t="n">
        <v>0</v>
      </c>
      <c r="R657" s="2" t="inlineStr"/>
    </row>
    <row r="658" ht="15" customHeight="1">
      <c r="A658" t="inlineStr">
        <is>
          <t>A 50545-2025</t>
        </is>
      </c>
      <c r="B658" s="1" t="n">
        <v>45945.50777777778</v>
      </c>
      <c r="C658" s="1" t="n">
        <v>46035</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50551-2025</t>
        </is>
      </c>
      <c r="B659" s="1" t="n">
        <v>45945.52244212963</v>
      </c>
      <c r="C659" s="1" t="n">
        <v>46035</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50498-2025</t>
        </is>
      </c>
      <c r="B660" s="1" t="n">
        <v>45945.41553240741</v>
      </c>
      <c r="C660" s="1" t="n">
        <v>46035</v>
      </c>
      <c r="D660" t="inlineStr">
        <is>
          <t>VÄRMLANDS LÄN</t>
        </is>
      </c>
      <c r="E660" t="inlineStr">
        <is>
          <t>ÅRJÄNG</t>
        </is>
      </c>
      <c r="G660" t="n">
        <v>4.5</v>
      </c>
      <c r="H660" t="n">
        <v>0</v>
      </c>
      <c r="I660" t="n">
        <v>0</v>
      </c>
      <c r="J660" t="n">
        <v>0</v>
      </c>
      <c r="K660" t="n">
        <v>0</v>
      </c>
      <c r="L660" t="n">
        <v>0</v>
      </c>
      <c r="M660" t="n">
        <v>0</v>
      </c>
      <c r="N660" t="n">
        <v>0</v>
      </c>
      <c r="O660" t="n">
        <v>0</v>
      </c>
      <c r="P660" t="n">
        <v>0</v>
      </c>
      <c r="Q660" t="n">
        <v>0</v>
      </c>
      <c r="R660" s="2" t="inlineStr"/>
    </row>
    <row r="661" ht="15" customHeight="1">
      <c r="A661" t="inlineStr">
        <is>
          <t>A 8685-2024</t>
        </is>
      </c>
      <c r="B661" s="1" t="n">
        <v>45356</v>
      </c>
      <c r="C661" s="1" t="n">
        <v>46035</v>
      </c>
      <c r="D661" t="inlineStr">
        <is>
          <t>VÄRMLANDS LÄN</t>
        </is>
      </c>
      <c r="E661" t="inlineStr">
        <is>
          <t>ÅRJÄNG</t>
        </is>
      </c>
      <c r="G661" t="n">
        <v>2.5</v>
      </c>
      <c r="H661" t="n">
        <v>0</v>
      </c>
      <c r="I661" t="n">
        <v>0</v>
      </c>
      <c r="J661" t="n">
        <v>0</v>
      </c>
      <c r="K661" t="n">
        <v>0</v>
      </c>
      <c r="L661" t="n">
        <v>0</v>
      </c>
      <c r="M661" t="n">
        <v>0</v>
      </c>
      <c r="N661" t="n">
        <v>0</v>
      </c>
      <c r="O661" t="n">
        <v>0</v>
      </c>
      <c r="P661" t="n">
        <v>0</v>
      </c>
      <c r="Q661" t="n">
        <v>0</v>
      </c>
      <c r="R661" s="2" t="inlineStr"/>
    </row>
    <row r="662" ht="15" customHeight="1">
      <c r="A662" t="inlineStr">
        <is>
          <t>A 31282-2025</t>
        </is>
      </c>
      <c r="B662" s="1" t="n">
        <v>45833</v>
      </c>
      <c r="C662" s="1" t="n">
        <v>46035</v>
      </c>
      <c r="D662" t="inlineStr">
        <is>
          <t>VÄRMLANDS LÄN</t>
        </is>
      </c>
      <c r="E662" t="inlineStr">
        <is>
          <t>ÅRJÄNG</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31710-2025</t>
        </is>
      </c>
      <c r="B663" s="1" t="n">
        <v>45834.4325462963</v>
      </c>
      <c r="C663" s="1" t="n">
        <v>46035</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49057-2024</t>
        </is>
      </c>
      <c r="B664" s="1" t="n">
        <v>45594</v>
      </c>
      <c r="C664" s="1" t="n">
        <v>46035</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31591-2025</t>
        </is>
      </c>
      <c r="B665" s="1" t="n">
        <v>45833</v>
      </c>
      <c r="C665" s="1" t="n">
        <v>46035</v>
      </c>
      <c r="D665" t="inlineStr">
        <is>
          <t>VÄRMLANDS LÄN</t>
        </is>
      </c>
      <c r="E665" t="inlineStr">
        <is>
          <t>ÅRJÄNG</t>
        </is>
      </c>
      <c r="G665" t="n">
        <v>1.2</v>
      </c>
      <c r="H665" t="n">
        <v>0</v>
      </c>
      <c r="I665" t="n">
        <v>0</v>
      </c>
      <c r="J665" t="n">
        <v>0</v>
      </c>
      <c r="K665" t="n">
        <v>0</v>
      </c>
      <c r="L665" t="n">
        <v>0</v>
      </c>
      <c r="M665" t="n">
        <v>0</v>
      </c>
      <c r="N665" t="n">
        <v>0</v>
      </c>
      <c r="O665" t="n">
        <v>0</v>
      </c>
      <c r="P665" t="n">
        <v>0</v>
      </c>
      <c r="Q665" t="n">
        <v>0</v>
      </c>
      <c r="R665" s="2" t="inlineStr"/>
    </row>
    <row r="666" ht="15" customHeight="1">
      <c r="A666" t="inlineStr">
        <is>
          <t>A 31433-2025</t>
        </is>
      </c>
      <c r="B666" s="1" t="n">
        <v>45833</v>
      </c>
      <c r="C666" s="1" t="n">
        <v>46035</v>
      </c>
      <c r="D666" t="inlineStr">
        <is>
          <t>VÄRMLANDS LÄN</t>
        </is>
      </c>
      <c r="E666" t="inlineStr">
        <is>
          <t>ÅRJÄNG</t>
        </is>
      </c>
      <c r="G666" t="n">
        <v>3</v>
      </c>
      <c r="H666" t="n">
        <v>0</v>
      </c>
      <c r="I666" t="n">
        <v>0</v>
      </c>
      <c r="J666" t="n">
        <v>0</v>
      </c>
      <c r="K666" t="n">
        <v>0</v>
      </c>
      <c r="L666" t="n">
        <v>0</v>
      </c>
      <c r="M666" t="n">
        <v>0</v>
      </c>
      <c r="N666" t="n">
        <v>0</v>
      </c>
      <c r="O666" t="n">
        <v>0</v>
      </c>
      <c r="P666" t="n">
        <v>0</v>
      </c>
      <c r="Q666" t="n">
        <v>0</v>
      </c>
      <c r="R666" s="2" t="inlineStr"/>
    </row>
    <row r="667" ht="15" customHeight="1">
      <c r="A667" t="inlineStr">
        <is>
          <t>A 31393-2025</t>
        </is>
      </c>
      <c r="B667" s="1" t="n">
        <v>45833.46305555556</v>
      </c>
      <c r="C667" s="1" t="n">
        <v>46035</v>
      </c>
      <c r="D667" t="inlineStr">
        <is>
          <t>VÄRMLANDS LÄN</t>
        </is>
      </c>
      <c r="E667" t="inlineStr">
        <is>
          <t>ÅRJÄNG</t>
        </is>
      </c>
      <c r="G667" t="n">
        <v>1.8</v>
      </c>
      <c r="H667" t="n">
        <v>0</v>
      </c>
      <c r="I667" t="n">
        <v>0</v>
      </c>
      <c r="J667" t="n">
        <v>0</v>
      </c>
      <c r="K667" t="n">
        <v>0</v>
      </c>
      <c r="L667" t="n">
        <v>0</v>
      </c>
      <c r="M667" t="n">
        <v>0</v>
      </c>
      <c r="N667" t="n">
        <v>0</v>
      </c>
      <c r="O667" t="n">
        <v>0</v>
      </c>
      <c r="P667" t="n">
        <v>0</v>
      </c>
      <c r="Q667" t="n">
        <v>0</v>
      </c>
      <c r="R667" s="2" t="inlineStr"/>
    </row>
    <row r="668" ht="15" customHeight="1">
      <c r="A668" t="inlineStr">
        <is>
          <t>A 64690-2023</t>
        </is>
      </c>
      <c r="B668" s="1" t="n">
        <v>45281.63434027778</v>
      </c>
      <c r="C668" s="1" t="n">
        <v>46035</v>
      </c>
      <c r="D668" t="inlineStr">
        <is>
          <t>VÄRMLANDS LÄN</t>
        </is>
      </c>
      <c r="E668" t="inlineStr">
        <is>
          <t>ÅRJÄNG</t>
        </is>
      </c>
      <c r="G668" t="n">
        <v>2.1</v>
      </c>
      <c r="H668" t="n">
        <v>0</v>
      </c>
      <c r="I668" t="n">
        <v>0</v>
      </c>
      <c r="J668" t="n">
        <v>0</v>
      </c>
      <c r="K668" t="n">
        <v>0</v>
      </c>
      <c r="L668" t="n">
        <v>0</v>
      </c>
      <c r="M668" t="n">
        <v>0</v>
      </c>
      <c r="N668" t="n">
        <v>0</v>
      </c>
      <c r="O668" t="n">
        <v>0</v>
      </c>
      <c r="P668" t="n">
        <v>0</v>
      </c>
      <c r="Q668" t="n">
        <v>0</v>
      </c>
      <c r="R668" s="2" t="inlineStr"/>
    </row>
    <row r="669" ht="15" customHeight="1">
      <c r="A669" t="inlineStr">
        <is>
          <t>A 9489-2025</t>
        </is>
      </c>
      <c r="B669" s="1" t="n">
        <v>45715</v>
      </c>
      <c r="C669" s="1" t="n">
        <v>46035</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32321-2025</t>
        </is>
      </c>
      <c r="B670" s="1" t="n">
        <v>45836</v>
      </c>
      <c r="C670" s="1" t="n">
        <v>46035</v>
      </c>
      <c r="D670" t="inlineStr">
        <is>
          <t>VÄRMLANDS LÄN</t>
        </is>
      </c>
      <c r="E670" t="inlineStr">
        <is>
          <t>ÅRJÄNG</t>
        </is>
      </c>
      <c r="G670" t="n">
        <v>2.4</v>
      </c>
      <c r="H670" t="n">
        <v>0</v>
      </c>
      <c r="I670" t="n">
        <v>0</v>
      </c>
      <c r="J670" t="n">
        <v>0</v>
      </c>
      <c r="K670" t="n">
        <v>0</v>
      </c>
      <c r="L670" t="n">
        <v>0</v>
      </c>
      <c r="M670" t="n">
        <v>0</v>
      </c>
      <c r="N670" t="n">
        <v>0</v>
      </c>
      <c r="O670" t="n">
        <v>0</v>
      </c>
      <c r="P670" t="n">
        <v>0</v>
      </c>
      <c r="Q670" t="n">
        <v>0</v>
      </c>
      <c r="R670" s="2" t="inlineStr"/>
    </row>
    <row r="671" ht="15" customHeight="1">
      <c r="A671" t="inlineStr">
        <is>
          <t>A 32330-2025</t>
        </is>
      </c>
      <c r="B671" s="1" t="n">
        <v>45836.50547453704</v>
      </c>
      <c r="C671" s="1" t="n">
        <v>46035</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32324-2025</t>
        </is>
      </c>
      <c r="B672" s="1" t="n">
        <v>45836.43634259259</v>
      </c>
      <c r="C672" s="1" t="n">
        <v>46035</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7574-2024</t>
        </is>
      </c>
      <c r="B673" s="1" t="n">
        <v>45348</v>
      </c>
      <c r="C673" s="1" t="n">
        <v>46035</v>
      </c>
      <c r="D673" t="inlineStr">
        <is>
          <t>VÄRMLANDS LÄN</t>
        </is>
      </c>
      <c r="E673" t="inlineStr">
        <is>
          <t>ÅRJÄNG</t>
        </is>
      </c>
      <c r="G673" t="n">
        <v>4.6</v>
      </c>
      <c r="H673" t="n">
        <v>0</v>
      </c>
      <c r="I673" t="n">
        <v>0</v>
      </c>
      <c r="J673" t="n">
        <v>0</v>
      </c>
      <c r="K673" t="n">
        <v>0</v>
      </c>
      <c r="L673" t="n">
        <v>0</v>
      </c>
      <c r="M673" t="n">
        <v>0</v>
      </c>
      <c r="N673" t="n">
        <v>0</v>
      </c>
      <c r="O673" t="n">
        <v>0</v>
      </c>
      <c r="P673" t="n">
        <v>0</v>
      </c>
      <c r="Q673" t="n">
        <v>0</v>
      </c>
      <c r="R673" s="2" t="inlineStr"/>
    </row>
    <row r="674" ht="15" customHeight="1">
      <c r="A674" t="inlineStr">
        <is>
          <t>A 60886-2023</t>
        </is>
      </c>
      <c r="B674" s="1" t="n">
        <v>45261</v>
      </c>
      <c r="C674" s="1" t="n">
        <v>46035</v>
      </c>
      <c r="D674" t="inlineStr">
        <is>
          <t>VÄRMLANDS LÄN</t>
        </is>
      </c>
      <c r="E674" t="inlineStr">
        <is>
          <t>ÅRJÄNG</t>
        </is>
      </c>
      <c r="G674" t="n">
        <v>2.9</v>
      </c>
      <c r="H674" t="n">
        <v>0</v>
      </c>
      <c r="I674" t="n">
        <v>0</v>
      </c>
      <c r="J674" t="n">
        <v>0</v>
      </c>
      <c r="K674" t="n">
        <v>0</v>
      </c>
      <c r="L674" t="n">
        <v>0</v>
      </c>
      <c r="M674" t="n">
        <v>0</v>
      </c>
      <c r="N674" t="n">
        <v>0</v>
      </c>
      <c r="O674" t="n">
        <v>0</v>
      </c>
      <c r="P674" t="n">
        <v>0</v>
      </c>
      <c r="Q674" t="n">
        <v>0</v>
      </c>
      <c r="R674" s="2" t="inlineStr"/>
    </row>
    <row r="675" ht="15" customHeight="1">
      <c r="A675" t="inlineStr">
        <is>
          <t>A 31622-2024</t>
        </is>
      </c>
      <c r="B675" s="1" t="n">
        <v>45506</v>
      </c>
      <c r="C675" s="1" t="n">
        <v>46035</v>
      </c>
      <c r="D675" t="inlineStr">
        <is>
          <t>VÄRMLANDS LÄN</t>
        </is>
      </c>
      <c r="E675" t="inlineStr">
        <is>
          <t>ÅRJÄNG</t>
        </is>
      </c>
      <c r="G675" t="n">
        <v>4</v>
      </c>
      <c r="H675" t="n">
        <v>0</v>
      </c>
      <c r="I675" t="n">
        <v>0</v>
      </c>
      <c r="J675" t="n">
        <v>0</v>
      </c>
      <c r="K675" t="n">
        <v>0</v>
      </c>
      <c r="L675" t="n">
        <v>0</v>
      </c>
      <c r="M675" t="n">
        <v>0</v>
      </c>
      <c r="N675" t="n">
        <v>0</v>
      </c>
      <c r="O675" t="n">
        <v>0</v>
      </c>
      <c r="P675" t="n">
        <v>0</v>
      </c>
      <c r="Q675" t="n">
        <v>0</v>
      </c>
      <c r="R675" s="2" t="inlineStr"/>
    </row>
    <row r="676" ht="15" customHeight="1">
      <c r="A676" t="inlineStr">
        <is>
          <t>A 32326-2025</t>
        </is>
      </c>
      <c r="B676" s="1" t="n">
        <v>45836.44392361111</v>
      </c>
      <c r="C676" s="1" t="n">
        <v>46035</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51282-2025</t>
        </is>
      </c>
      <c r="B677" s="1" t="n">
        <v>45950.33694444445</v>
      </c>
      <c r="C677" s="1" t="n">
        <v>46035</v>
      </c>
      <c r="D677" t="inlineStr">
        <is>
          <t>VÄRMLANDS LÄN</t>
        </is>
      </c>
      <c r="E677" t="inlineStr">
        <is>
          <t>ÅRJÄNG</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24216-2024</t>
        </is>
      </c>
      <c r="B678" s="1" t="n">
        <v>45457</v>
      </c>
      <c r="C678" s="1" t="n">
        <v>46035</v>
      </c>
      <c r="D678" t="inlineStr">
        <is>
          <t>VÄRMLANDS LÄN</t>
        </is>
      </c>
      <c r="E678" t="inlineStr">
        <is>
          <t>ÅRJÄNG</t>
        </is>
      </c>
      <c r="G678" t="n">
        <v>2</v>
      </c>
      <c r="H678" t="n">
        <v>0</v>
      </c>
      <c r="I678" t="n">
        <v>0</v>
      </c>
      <c r="J678" t="n">
        <v>0</v>
      </c>
      <c r="K678" t="n">
        <v>0</v>
      </c>
      <c r="L678" t="n">
        <v>0</v>
      </c>
      <c r="M678" t="n">
        <v>0</v>
      </c>
      <c r="N678" t="n">
        <v>0</v>
      </c>
      <c r="O678" t="n">
        <v>0</v>
      </c>
      <c r="P678" t="n">
        <v>0</v>
      </c>
      <c r="Q678" t="n">
        <v>0</v>
      </c>
      <c r="R678" s="2" t="inlineStr"/>
    </row>
    <row r="679" ht="15" customHeight="1">
      <c r="A679" t="inlineStr">
        <is>
          <t>A 32920-2025</t>
        </is>
      </c>
      <c r="B679" s="1" t="n">
        <v>45839</v>
      </c>
      <c r="C679" s="1" t="n">
        <v>46035</v>
      </c>
      <c r="D679" t="inlineStr">
        <is>
          <t>VÄRMLANDS LÄN</t>
        </is>
      </c>
      <c r="E679" t="inlineStr">
        <is>
          <t>ÅRJÄNG</t>
        </is>
      </c>
      <c r="G679" t="n">
        <v>4.8</v>
      </c>
      <c r="H679" t="n">
        <v>0</v>
      </c>
      <c r="I679" t="n">
        <v>0</v>
      </c>
      <c r="J679" t="n">
        <v>0</v>
      </c>
      <c r="K679" t="n">
        <v>0</v>
      </c>
      <c r="L679" t="n">
        <v>0</v>
      </c>
      <c r="M679" t="n">
        <v>0</v>
      </c>
      <c r="N679" t="n">
        <v>0</v>
      </c>
      <c r="O679" t="n">
        <v>0</v>
      </c>
      <c r="P679" t="n">
        <v>0</v>
      </c>
      <c r="Q679" t="n">
        <v>0</v>
      </c>
      <c r="R679" s="2" t="inlineStr"/>
    </row>
    <row r="680" ht="15" customHeight="1">
      <c r="A680" t="inlineStr">
        <is>
          <t>A 50112-2024</t>
        </is>
      </c>
      <c r="B680" s="1" t="n">
        <v>45600</v>
      </c>
      <c r="C680" s="1" t="n">
        <v>46035</v>
      </c>
      <c r="D680" t="inlineStr">
        <is>
          <t>VÄRMLANDS LÄN</t>
        </is>
      </c>
      <c r="E680" t="inlineStr">
        <is>
          <t>ÅRJÄNG</t>
        </is>
      </c>
      <c r="G680" t="n">
        <v>2.8</v>
      </c>
      <c r="H680" t="n">
        <v>0</v>
      </c>
      <c r="I680" t="n">
        <v>0</v>
      </c>
      <c r="J680" t="n">
        <v>0</v>
      </c>
      <c r="K680" t="n">
        <v>0</v>
      </c>
      <c r="L680" t="n">
        <v>0</v>
      </c>
      <c r="M680" t="n">
        <v>0</v>
      </c>
      <c r="N680" t="n">
        <v>0</v>
      </c>
      <c r="O680" t="n">
        <v>0</v>
      </c>
      <c r="P680" t="n">
        <v>0</v>
      </c>
      <c r="Q680" t="n">
        <v>0</v>
      </c>
      <c r="R680" s="2" t="inlineStr"/>
    </row>
    <row r="681" ht="15" customHeight="1">
      <c r="A681" t="inlineStr">
        <is>
          <t>A 18388-2025</t>
        </is>
      </c>
      <c r="B681" s="1" t="n">
        <v>45762</v>
      </c>
      <c r="C681" s="1" t="n">
        <v>46035</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32730-2025</t>
        </is>
      </c>
      <c r="B682" s="1" t="n">
        <v>45839.40315972222</v>
      </c>
      <c r="C682" s="1" t="n">
        <v>46035</v>
      </c>
      <c r="D682" t="inlineStr">
        <is>
          <t>VÄRMLANDS LÄN</t>
        </is>
      </c>
      <c r="E682" t="inlineStr">
        <is>
          <t>ÅRJÄNG</t>
        </is>
      </c>
      <c r="F682" t="inlineStr">
        <is>
          <t>Kyrkan</t>
        </is>
      </c>
      <c r="G682" t="n">
        <v>5.9</v>
      </c>
      <c r="H682" t="n">
        <v>0</v>
      </c>
      <c r="I682" t="n">
        <v>0</v>
      </c>
      <c r="J682" t="n">
        <v>0</v>
      </c>
      <c r="K682" t="n">
        <v>0</v>
      </c>
      <c r="L682" t="n">
        <v>0</v>
      </c>
      <c r="M682" t="n">
        <v>0</v>
      </c>
      <c r="N682" t="n">
        <v>0</v>
      </c>
      <c r="O682" t="n">
        <v>0</v>
      </c>
      <c r="P682" t="n">
        <v>0</v>
      </c>
      <c r="Q682" t="n">
        <v>0</v>
      </c>
      <c r="R682" s="2" t="inlineStr"/>
    </row>
    <row r="683" ht="15" customHeight="1">
      <c r="A683" t="inlineStr">
        <is>
          <t>A 56168-2024</t>
        </is>
      </c>
      <c r="B683" s="1" t="n">
        <v>45623</v>
      </c>
      <c r="C683" s="1" t="n">
        <v>46035</v>
      </c>
      <c r="D683" t="inlineStr">
        <is>
          <t>VÄRMLANDS LÄN</t>
        </is>
      </c>
      <c r="E683" t="inlineStr">
        <is>
          <t>ÅRJÄNG</t>
        </is>
      </c>
      <c r="G683" t="n">
        <v>2.3</v>
      </c>
      <c r="H683" t="n">
        <v>0</v>
      </c>
      <c r="I683" t="n">
        <v>0</v>
      </c>
      <c r="J683" t="n">
        <v>0</v>
      </c>
      <c r="K683" t="n">
        <v>0</v>
      </c>
      <c r="L683" t="n">
        <v>0</v>
      </c>
      <c r="M683" t="n">
        <v>0</v>
      </c>
      <c r="N683" t="n">
        <v>0</v>
      </c>
      <c r="O683" t="n">
        <v>0</v>
      </c>
      <c r="P683" t="n">
        <v>0</v>
      </c>
      <c r="Q683" t="n">
        <v>0</v>
      </c>
      <c r="R683" s="2" t="inlineStr"/>
    </row>
    <row r="684" ht="15" customHeight="1">
      <c r="A684" t="inlineStr">
        <is>
          <t>A 57142-2024</t>
        </is>
      </c>
      <c r="B684" s="1" t="n">
        <v>45628</v>
      </c>
      <c r="C684" s="1" t="n">
        <v>46035</v>
      </c>
      <c r="D684" t="inlineStr">
        <is>
          <t>VÄRMLANDS LÄN</t>
        </is>
      </c>
      <c r="E684" t="inlineStr">
        <is>
          <t>ÅRJÄNG</t>
        </is>
      </c>
      <c r="G684" t="n">
        <v>5.4</v>
      </c>
      <c r="H684" t="n">
        <v>0</v>
      </c>
      <c r="I684" t="n">
        <v>0</v>
      </c>
      <c r="J684" t="n">
        <v>0</v>
      </c>
      <c r="K684" t="n">
        <v>0</v>
      </c>
      <c r="L684" t="n">
        <v>0</v>
      </c>
      <c r="M684" t="n">
        <v>0</v>
      </c>
      <c r="N684" t="n">
        <v>0</v>
      </c>
      <c r="O684" t="n">
        <v>0</v>
      </c>
      <c r="P684" t="n">
        <v>0</v>
      </c>
      <c r="Q684" t="n">
        <v>0</v>
      </c>
      <c r="R684" s="2" t="inlineStr"/>
    </row>
    <row r="685" ht="15" customHeight="1">
      <c r="A685" t="inlineStr">
        <is>
          <t>A 51430-2025</t>
        </is>
      </c>
      <c r="B685" s="1" t="n">
        <v>45950.54824074074</v>
      </c>
      <c r="C685" s="1" t="n">
        <v>46035</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51435-2025</t>
        </is>
      </c>
      <c r="B686" s="1" t="n">
        <v>45950.56015046296</v>
      </c>
      <c r="C686" s="1" t="n">
        <v>46035</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1912-2024</t>
        </is>
      </c>
      <c r="B687" s="1" t="n">
        <v>45308</v>
      </c>
      <c r="C687" s="1" t="n">
        <v>46035</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38167-2022</t>
        </is>
      </c>
      <c r="B688" s="1" t="n">
        <v>44812</v>
      </c>
      <c r="C688" s="1" t="n">
        <v>46035</v>
      </c>
      <c r="D688" t="inlineStr">
        <is>
          <t>VÄRMLANDS LÄN</t>
        </is>
      </c>
      <c r="E688" t="inlineStr">
        <is>
          <t>ÅRJÄNG</t>
        </is>
      </c>
      <c r="G688" t="n">
        <v>10.5</v>
      </c>
      <c r="H688" t="n">
        <v>0</v>
      </c>
      <c r="I688" t="n">
        <v>0</v>
      </c>
      <c r="J688" t="n">
        <v>0</v>
      </c>
      <c r="K688" t="n">
        <v>0</v>
      </c>
      <c r="L688" t="n">
        <v>0</v>
      </c>
      <c r="M688" t="n">
        <v>0</v>
      </c>
      <c r="N688" t="n">
        <v>0</v>
      </c>
      <c r="O688" t="n">
        <v>0</v>
      </c>
      <c r="P688" t="n">
        <v>0</v>
      </c>
      <c r="Q688" t="n">
        <v>0</v>
      </c>
      <c r="R688" s="2" t="inlineStr"/>
    </row>
    <row r="689" ht="15" customHeight="1">
      <c r="A689" t="inlineStr">
        <is>
          <t>A 57161-2024</t>
        </is>
      </c>
      <c r="B689" s="1" t="n">
        <v>45628</v>
      </c>
      <c r="C689" s="1" t="n">
        <v>46035</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60202-2023</t>
        </is>
      </c>
      <c r="B690" s="1" t="n">
        <v>45257</v>
      </c>
      <c r="C690" s="1" t="n">
        <v>46035</v>
      </c>
      <c r="D690" t="inlineStr">
        <is>
          <t>VÄRMLANDS LÄN</t>
        </is>
      </c>
      <c r="E690" t="inlineStr">
        <is>
          <t>ÅRJÄNG</t>
        </is>
      </c>
      <c r="G690" t="n">
        <v>1.2</v>
      </c>
      <c r="H690" t="n">
        <v>0</v>
      </c>
      <c r="I690" t="n">
        <v>0</v>
      </c>
      <c r="J690" t="n">
        <v>0</v>
      </c>
      <c r="K690" t="n">
        <v>0</v>
      </c>
      <c r="L690" t="n">
        <v>0</v>
      </c>
      <c r="M690" t="n">
        <v>0</v>
      </c>
      <c r="N690" t="n">
        <v>0</v>
      </c>
      <c r="O690" t="n">
        <v>0</v>
      </c>
      <c r="P690" t="n">
        <v>0</v>
      </c>
      <c r="Q690" t="n">
        <v>0</v>
      </c>
      <c r="R690" s="2" t="inlineStr"/>
    </row>
    <row r="691" ht="15" customHeight="1">
      <c r="A691" t="inlineStr">
        <is>
          <t>A 33237-2025</t>
        </is>
      </c>
      <c r="B691" s="1" t="n">
        <v>45840</v>
      </c>
      <c r="C691" s="1" t="n">
        <v>46035</v>
      </c>
      <c r="D691" t="inlineStr">
        <is>
          <t>VÄRMLANDS LÄN</t>
        </is>
      </c>
      <c r="E691" t="inlineStr">
        <is>
          <t>ÅRJÄNG</t>
        </is>
      </c>
      <c r="G691" t="n">
        <v>5.2</v>
      </c>
      <c r="H691" t="n">
        <v>0</v>
      </c>
      <c r="I691" t="n">
        <v>0</v>
      </c>
      <c r="J691" t="n">
        <v>0</v>
      </c>
      <c r="K691" t="n">
        <v>0</v>
      </c>
      <c r="L691" t="n">
        <v>0</v>
      </c>
      <c r="M691" t="n">
        <v>0</v>
      </c>
      <c r="N691" t="n">
        <v>0</v>
      </c>
      <c r="O691" t="n">
        <v>0</v>
      </c>
      <c r="P691" t="n">
        <v>0</v>
      </c>
      <c r="Q691" t="n">
        <v>0</v>
      </c>
      <c r="R691" s="2" t="inlineStr"/>
    </row>
    <row r="692" ht="15" customHeight="1">
      <c r="A692" t="inlineStr">
        <is>
          <t>A 32924-2025</t>
        </is>
      </c>
      <c r="B692" s="1" t="n">
        <v>45839.65589120371</v>
      </c>
      <c r="C692" s="1" t="n">
        <v>46035</v>
      </c>
      <c r="D692" t="inlineStr">
        <is>
          <t>VÄRMLANDS LÄN</t>
        </is>
      </c>
      <c r="E692" t="inlineStr">
        <is>
          <t>ÅRJÄNG</t>
        </is>
      </c>
      <c r="G692" t="n">
        <v>4.5</v>
      </c>
      <c r="H692" t="n">
        <v>0</v>
      </c>
      <c r="I692" t="n">
        <v>0</v>
      </c>
      <c r="J692" t="n">
        <v>0</v>
      </c>
      <c r="K692" t="n">
        <v>0</v>
      </c>
      <c r="L692" t="n">
        <v>0</v>
      </c>
      <c r="M692" t="n">
        <v>0</v>
      </c>
      <c r="N692" t="n">
        <v>0</v>
      </c>
      <c r="O692" t="n">
        <v>0</v>
      </c>
      <c r="P692" t="n">
        <v>0</v>
      </c>
      <c r="Q692" t="n">
        <v>0</v>
      </c>
      <c r="R692" s="2" t="inlineStr"/>
    </row>
    <row r="693" ht="15" customHeight="1">
      <c r="A693" t="inlineStr">
        <is>
          <t>A 42236-2024</t>
        </is>
      </c>
      <c r="B693" s="1" t="n">
        <v>45562</v>
      </c>
      <c r="C693" s="1" t="n">
        <v>46035</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59484-2024</t>
        </is>
      </c>
      <c r="B694" s="1" t="n">
        <v>45638</v>
      </c>
      <c r="C694" s="1" t="n">
        <v>46035</v>
      </c>
      <c r="D694" t="inlineStr">
        <is>
          <t>VÄRMLANDS LÄN</t>
        </is>
      </c>
      <c r="E694" t="inlineStr">
        <is>
          <t>ÅRJÄNG</t>
        </is>
      </c>
      <c r="G694" t="n">
        <v>2.9</v>
      </c>
      <c r="H694" t="n">
        <v>0</v>
      </c>
      <c r="I694" t="n">
        <v>0</v>
      </c>
      <c r="J694" t="n">
        <v>0</v>
      </c>
      <c r="K694" t="n">
        <v>0</v>
      </c>
      <c r="L694" t="n">
        <v>0</v>
      </c>
      <c r="M694" t="n">
        <v>0</v>
      </c>
      <c r="N694" t="n">
        <v>0</v>
      </c>
      <c r="O694" t="n">
        <v>0</v>
      </c>
      <c r="P694" t="n">
        <v>0</v>
      </c>
      <c r="Q694" t="n">
        <v>0</v>
      </c>
      <c r="R694" s="2" t="inlineStr"/>
    </row>
    <row r="695" ht="15" customHeight="1">
      <c r="A695" t="inlineStr">
        <is>
          <t>A 51260-2024</t>
        </is>
      </c>
      <c r="B695" s="1" t="n">
        <v>45602</v>
      </c>
      <c r="C695" s="1" t="n">
        <v>46035</v>
      </c>
      <c r="D695" t="inlineStr">
        <is>
          <t>VÄRMLANDS LÄN</t>
        </is>
      </c>
      <c r="E695" t="inlineStr">
        <is>
          <t>ÅRJÄNG</t>
        </is>
      </c>
      <c r="G695" t="n">
        <v>1.7</v>
      </c>
      <c r="H695" t="n">
        <v>0</v>
      </c>
      <c r="I695" t="n">
        <v>0</v>
      </c>
      <c r="J695" t="n">
        <v>0</v>
      </c>
      <c r="K695" t="n">
        <v>0</v>
      </c>
      <c r="L695" t="n">
        <v>0</v>
      </c>
      <c r="M695" t="n">
        <v>0</v>
      </c>
      <c r="N695" t="n">
        <v>0</v>
      </c>
      <c r="O695" t="n">
        <v>0</v>
      </c>
      <c r="P695" t="n">
        <v>0</v>
      </c>
      <c r="Q695" t="n">
        <v>0</v>
      </c>
      <c r="R695" s="2" t="inlineStr"/>
    </row>
    <row r="696" ht="15" customHeight="1">
      <c r="A696" t="inlineStr">
        <is>
          <t>A 41205-2024</t>
        </is>
      </c>
      <c r="B696" s="1" t="n">
        <v>45559</v>
      </c>
      <c r="C696" s="1" t="n">
        <v>46035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29570-2023</t>
        </is>
      </c>
      <c r="B697" s="1" t="n">
        <v>45106.6989699074</v>
      </c>
      <c r="C697" s="1" t="n">
        <v>46035</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52382-2024</t>
        </is>
      </c>
      <c r="B698" s="1" t="n">
        <v>45608</v>
      </c>
      <c r="C698" s="1" t="n">
        <v>46035</v>
      </c>
      <c r="D698" t="inlineStr">
        <is>
          <t>VÄRMLANDS LÄN</t>
        </is>
      </c>
      <c r="E698" t="inlineStr">
        <is>
          <t>ÅRJÄNG</t>
        </is>
      </c>
      <c r="G698" t="n">
        <v>8.9</v>
      </c>
      <c r="H698" t="n">
        <v>0</v>
      </c>
      <c r="I698" t="n">
        <v>0</v>
      </c>
      <c r="J698" t="n">
        <v>0</v>
      </c>
      <c r="K698" t="n">
        <v>0</v>
      </c>
      <c r="L698" t="n">
        <v>0</v>
      </c>
      <c r="M698" t="n">
        <v>0</v>
      </c>
      <c r="N698" t="n">
        <v>0</v>
      </c>
      <c r="O698" t="n">
        <v>0</v>
      </c>
      <c r="P698" t="n">
        <v>0</v>
      </c>
      <c r="Q698" t="n">
        <v>0</v>
      </c>
      <c r="R698" s="2" t="inlineStr"/>
    </row>
    <row r="699" ht="15" customHeight="1">
      <c r="A699" t="inlineStr">
        <is>
          <t>A 33412-2025</t>
        </is>
      </c>
      <c r="B699" s="1" t="n">
        <v>45841</v>
      </c>
      <c r="C699" s="1" t="n">
        <v>46035</v>
      </c>
      <c r="D699" t="inlineStr">
        <is>
          <t>VÄRMLANDS LÄN</t>
        </is>
      </c>
      <c r="E699" t="inlineStr">
        <is>
          <t>ÅRJÄNG</t>
        </is>
      </c>
      <c r="G699" t="n">
        <v>4.1</v>
      </c>
      <c r="H699" t="n">
        <v>0</v>
      </c>
      <c r="I699" t="n">
        <v>0</v>
      </c>
      <c r="J699" t="n">
        <v>0</v>
      </c>
      <c r="K699" t="n">
        <v>0</v>
      </c>
      <c r="L699" t="n">
        <v>0</v>
      </c>
      <c r="M699" t="n">
        <v>0</v>
      </c>
      <c r="N699" t="n">
        <v>0</v>
      </c>
      <c r="O699" t="n">
        <v>0</v>
      </c>
      <c r="P699" t="n">
        <v>0</v>
      </c>
      <c r="Q699" t="n">
        <v>0</v>
      </c>
      <c r="R699" s="2" t="inlineStr"/>
    </row>
    <row r="700" ht="15" customHeight="1">
      <c r="A700" t="inlineStr">
        <is>
          <t>A 56917-2024</t>
        </is>
      </c>
      <c r="B700" s="1" t="n">
        <v>45628</v>
      </c>
      <c r="C700" s="1" t="n">
        <v>46035</v>
      </c>
      <c r="D700" t="inlineStr">
        <is>
          <t>VÄRMLANDS LÄN</t>
        </is>
      </c>
      <c r="E700" t="inlineStr">
        <is>
          <t>ÅRJÄNG</t>
        </is>
      </c>
      <c r="G700" t="n">
        <v>2.5</v>
      </c>
      <c r="H700" t="n">
        <v>0</v>
      </c>
      <c r="I700" t="n">
        <v>0</v>
      </c>
      <c r="J700" t="n">
        <v>0</v>
      </c>
      <c r="K700" t="n">
        <v>0</v>
      </c>
      <c r="L700" t="n">
        <v>0</v>
      </c>
      <c r="M700" t="n">
        <v>0</v>
      </c>
      <c r="N700" t="n">
        <v>0</v>
      </c>
      <c r="O700" t="n">
        <v>0</v>
      </c>
      <c r="P700" t="n">
        <v>0</v>
      </c>
      <c r="Q700" t="n">
        <v>0</v>
      </c>
      <c r="R700" s="2" t="inlineStr"/>
    </row>
    <row r="701" ht="15" customHeight="1">
      <c r="A701" t="inlineStr">
        <is>
          <t>A 46318-2024</t>
        </is>
      </c>
      <c r="B701" s="1" t="n">
        <v>45581.75744212963</v>
      </c>
      <c r="C701" s="1" t="n">
        <v>46035</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18796-2023</t>
        </is>
      </c>
      <c r="B702" s="1" t="n">
        <v>45044.31065972222</v>
      </c>
      <c r="C702" s="1" t="n">
        <v>46035</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33526-2025</t>
        </is>
      </c>
      <c r="B703" s="1" t="n">
        <v>45841.54869212963</v>
      </c>
      <c r="C703" s="1" t="n">
        <v>46035</v>
      </c>
      <c r="D703" t="inlineStr">
        <is>
          <t>VÄRMLANDS LÄN</t>
        </is>
      </c>
      <c r="E703" t="inlineStr">
        <is>
          <t>ÅRJÄNG</t>
        </is>
      </c>
      <c r="G703" t="n">
        <v>0.7</v>
      </c>
      <c r="H703" t="n">
        <v>0</v>
      </c>
      <c r="I703" t="n">
        <v>0</v>
      </c>
      <c r="J703" t="n">
        <v>0</v>
      </c>
      <c r="K703" t="n">
        <v>0</v>
      </c>
      <c r="L703" t="n">
        <v>0</v>
      </c>
      <c r="M703" t="n">
        <v>0</v>
      </c>
      <c r="N703" t="n">
        <v>0</v>
      </c>
      <c r="O703" t="n">
        <v>0</v>
      </c>
      <c r="P703" t="n">
        <v>0</v>
      </c>
      <c r="Q703" t="n">
        <v>0</v>
      </c>
      <c r="R703" s="2" t="inlineStr"/>
    </row>
    <row r="704" ht="15" customHeight="1">
      <c r="A704" t="inlineStr">
        <is>
          <t>A 33600-2025</t>
        </is>
      </c>
      <c r="B704" s="1" t="n">
        <v>45841.60918981482</v>
      </c>
      <c r="C704" s="1" t="n">
        <v>46035</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33481-2025</t>
        </is>
      </c>
      <c r="B705" s="1" t="n">
        <v>45841</v>
      </c>
      <c r="C705" s="1" t="n">
        <v>46035</v>
      </c>
      <c r="D705" t="inlineStr">
        <is>
          <t>VÄRMLANDS LÄN</t>
        </is>
      </c>
      <c r="E705" t="inlineStr">
        <is>
          <t>ÅRJÄNG</t>
        </is>
      </c>
      <c r="G705" t="n">
        <v>10.3</v>
      </c>
      <c r="H705" t="n">
        <v>0</v>
      </c>
      <c r="I705" t="n">
        <v>0</v>
      </c>
      <c r="J705" t="n">
        <v>0</v>
      </c>
      <c r="K705" t="n">
        <v>0</v>
      </c>
      <c r="L705" t="n">
        <v>0</v>
      </c>
      <c r="M705" t="n">
        <v>0</v>
      </c>
      <c r="N705" t="n">
        <v>0</v>
      </c>
      <c r="O705" t="n">
        <v>0</v>
      </c>
      <c r="P705" t="n">
        <v>0</v>
      </c>
      <c r="Q705" t="n">
        <v>0</v>
      </c>
      <c r="R705" s="2" t="inlineStr"/>
    </row>
    <row r="706" ht="15" customHeight="1">
      <c r="A706" t="inlineStr">
        <is>
          <t>A 65849-2021</t>
        </is>
      </c>
      <c r="B706" s="1" t="n">
        <v>44517</v>
      </c>
      <c r="C706" s="1" t="n">
        <v>46035</v>
      </c>
      <c r="D706" t="inlineStr">
        <is>
          <t>VÄRMLANDS LÄN</t>
        </is>
      </c>
      <c r="E706" t="inlineStr">
        <is>
          <t>ÅRJÄNG</t>
        </is>
      </c>
      <c r="G706" t="n">
        <v>3.3</v>
      </c>
      <c r="H706" t="n">
        <v>0</v>
      </c>
      <c r="I706" t="n">
        <v>0</v>
      </c>
      <c r="J706" t="n">
        <v>0</v>
      </c>
      <c r="K706" t="n">
        <v>0</v>
      </c>
      <c r="L706" t="n">
        <v>0</v>
      </c>
      <c r="M706" t="n">
        <v>0</v>
      </c>
      <c r="N706" t="n">
        <v>0</v>
      </c>
      <c r="O706" t="n">
        <v>0</v>
      </c>
      <c r="P706" t="n">
        <v>0</v>
      </c>
      <c r="Q706" t="n">
        <v>0</v>
      </c>
      <c r="R706" s="2" t="inlineStr"/>
    </row>
    <row r="707" ht="15" customHeight="1">
      <c r="A707" t="inlineStr">
        <is>
          <t>A 33832-2025</t>
        </is>
      </c>
      <c r="B707" s="1" t="n">
        <v>45842.47506944444</v>
      </c>
      <c r="C707" s="1" t="n">
        <v>46035</v>
      </c>
      <c r="D707" t="inlineStr">
        <is>
          <t>VÄRMLANDS LÄN</t>
        </is>
      </c>
      <c r="E707" t="inlineStr">
        <is>
          <t>ÅRJÄNG</t>
        </is>
      </c>
      <c r="G707" t="n">
        <v>2</v>
      </c>
      <c r="H707" t="n">
        <v>0</v>
      </c>
      <c r="I707" t="n">
        <v>0</v>
      </c>
      <c r="J707" t="n">
        <v>0</v>
      </c>
      <c r="K707" t="n">
        <v>0</v>
      </c>
      <c r="L707" t="n">
        <v>0</v>
      </c>
      <c r="M707" t="n">
        <v>0</v>
      </c>
      <c r="N707" t="n">
        <v>0</v>
      </c>
      <c r="O707" t="n">
        <v>0</v>
      </c>
      <c r="P707" t="n">
        <v>0</v>
      </c>
      <c r="Q707" t="n">
        <v>0</v>
      </c>
      <c r="R707" s="2" t="inlineStr"/>
    </row>
    <row r="708" ht="15" customHeight="1">
      <c r="A708" t="inlineStr">
        <is>
          <t>A 53123-2024</t>
        </is>
      </c>
      <c r="B708" s="1" t="n">
        <v>45611.58819444444</v>
      </c>
      <c r="C708" s="1" t="n">
        <v>46035</v>
      </c>
      <c r="D708" t="inlineStr">
        <is>
          <t>VÄRMLANDS LÄN</t>
        </is>
      </c>
      <c r="E708" t="inlineStr">
        <is>
          <t>ÅRJÄNG</t>
        </is>
      </c>
      <c r="F708" t="inlineStr">
        <is>
          <t>Bergvik skog väst AB</t>
        </is>
      </c>
      <c r="G708" t="n">
        <v>2.6</v>
      </c>
      <c r="H708" t="n">
        <v>0</v>
      </c>
      <c r="I708" t="n">
        <v>0</v>
      </c>
      <c r="J708" t="n">
        <v>0</v>
      </c>
      <c r="K708" t="n">
        <v>0</v>
      </c>
      <c r="L708" t="n">
        <v>0</v>
      </c>
      <c r="M708" t="n">
        <v>0</v>
      </c>
      <c r="N708" t="n">
        <v>0</v>
      </c>
      <c r="O708" t="n">
        <v>0</v>
      </c>
      <c r="P708" t="n">
        <v>0</v>
      </c>
      <c r="Q708" t="n">
        <v>0</v>
      </c>
      <c r="R708" s="2" t="inlineStr"/>
    </row>
    <row r="709" ht="15" customHeight="1">
      <c r="A709" t="inlineStr">
        <is>
          <t>A 60289-2025</t>
        </is>
      </c>
      <c r="B709" s="1" t="n">
        <v>45994</v>
      </c>
      <c r="C709" s="1" t="n">
        <v>46035</v>
      </c>
      <c r="D709" t="inlineStr">
        <is>
          <t>VÄRMLANDS LÄN</t>
        </is>
      </c>
      <c r="E709" t="inlineStr">
        <is>
          <t>ÅRJÄNG</t>
        </is>
      </c>
      <c r="G709" t="n">
        <v>5.4</v>
      </c>
      <c r="H709" t="n">
        <v>0</v>
      </c>
      <c r="I709" t="n">
        <v>0</v>
      </c>
      <c r="J709" t="n">
        <v>0</v>
      </c>
      <c r="K709" t="n">
        <v>0</v>
      </c>
      <c r="L709" t="n">
        <v>0</v>
      </c>
      <c r="M709" t="n">
        <v>0</v>
      </c>
      <c r="N709" t="n">
        <v>0</v>
      </c>
      <c r="O709" t="n">
        <v>0</v>
      </c>
      <c r="P709" t="n">
        <v>0</v>
      </c>
      <c r="Q709" t="n">
        <v>0</v>
      </c>
      <c r="R709" s="2" t="inlineStr"/>
    </row>
    <row r="710" ht="15" customHeight="1">
      <c r="A710" t="inlineStr">
        <is>
          <t>A 33993-2025</t>
        </is>
      </c>
      <c r="B710" s="1" t="n">
        <v>45843.61189814815</v>
      </c>
      <c r="C710" s="1" t="n">
        <v>46035</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34148-2025</t>
        </is>
      </c>
      <c r="B711" s="1" t="n">
        <v>45844</v>
      </c>
      <c r="C711" s="1" t="n">
        <v>46035</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1153-2023</t>
        </is>
      </c>
      <c r="B712" s="1" t="n">
        <v>44935</v>
      </c>
      <c r="C712" s="1" t="n">
        <v>46035</v>
      </c>
      <c r="D712" t="inlineStr">
        <is>
          <t>VÄRMLANDS LÄN</t>
        </is>
      </c>
      <c r="E712" t="inlineStr">
        <is>
          <t>ÅRJÄNG</t>
        </is>
      </c>
      <c r="G712" t="n">
        <v>3.2</v>
      </c>
      <c r="H712" t="n">
        <v>0</v>
      </c>
      <c r="I712" t="n">
        <v>0</v>
      </c>
      <c r="J712" t="n">
        <v>0</v>
      </c>
      <c r="K712" t="n">
        <v>0</v>
      </c>
      <c r="L712" t="n">
        <v>0</v>
      </c>
      <c r="M712" t="n">
        <v>0</v>
      </c>
      <c r="N712" t="n">
        <v>0</v>
      </c>
      <c r="O712" t="n">
        <v>0</v>
      </c>
      <c r="P712" t="n">
        <v>0</v>
      </c>
      <c r="Q712" t="n">
        <v>0</v>
      </c>
      <c r="R712" s="2" t="inlineStr"/>
    </row>
    <row r="713" ht="15" customHeight="1">
      <c r="A713" t="inlineStr">
        <is>
          <t>A 33998-2025</t>
        </is>
      </c>
      <c r="B713" s="1" t="n">
        <v>45843.99453703704</v>
      </c>
      <c r="C713" s="1" t="n">
        <v>46035</v>
      </c>
      <c r="D713" t="inlineStr">
        <is>
          <t>VÄRMLANDS LÄN</t>
        </is>
      </c>
      <c r="E713" t="inlineStr">
        <is>
          <t>ÅRJÄNG</t>
        </is>
      </c>
      <c r="F713" t="inlineStr">
        <is>
          <t>Kyrkan</t>
        </is>
      </c>
      <c r="G713" t="n">
        <v>2</v>
      </c>
      <c r="H713" t="n">
        <v>0</v>
      </c>
      <c r="I713" t="n">
        <v>0</v>
      </c>
      <c r="J713" t="n">
        <v>0</v>
      </c>
      <c r="K713" t="n">
        <v>0</v>
      </c>
      <c r="L713" t="n">
        <v>0</v>
      </c>
      <c r="M713" t="n">
        <v>0</v>
      </c>
      <c r="N713" t="n">
        <v>0</v>
      </c>
      <c r="O713" t="n">
        <v>0</v>
      </c>
      <c r="P713" t="n">
        <v>0</v>
      </c>
      <c r="Q713" t="n">
        <v>0</v>
      </c>
      <c r="R713" s="2" t="inlineStr"/>
    </row>
    <row r="714" ht="15" customHeight="1">
      <c r="A714" t="inlineStr">
        <is>
          <t>A 11265-2021</t>
        </is>
      </c>
      <c r="B714" s="1" t="n">
        <v>44263.44670138889</v>
      </c>
      <c r="C714" s="1" t="n">
        <v>46035</v>
      </c>
      <c r="D714" t="inlineStr">
        <is>
          <t>VÄRMLANDS LÄN</t>
        </is>
      </c>
      <c r="E714" t="inlineStr">
        <is>
          <t>ÅRJÄNG</t>
        </is>
      </c>
      <c r="G714" t="n">
        <v>2.2</v>
      </c>
      <c r="H714" t="n">
        <v>0</v>
      </c>
      <c r="I714" t="n">
        <v>0</v>
      </c>
      <c r="J714" t="n">
        <v>0</v>
      </c>
      <c r="K714" t="n">
        <v>0</v>
      </c>
      <c r="L714" t="n">
        <v>0</v>
      </c>
      <c r="M714" t="n">
        <v>0</v>
      </c>
      <c r="N714" t="n">
        <v>0</v>
      </c>
      <c r="O714" t="n">
        <v>0</v>
      </c>
      <c r="P714" t="n">
        <v>0</v>
      </c>
      <c r="Q714" t="n">
        <v>0</v>
      </c>
      <c r="R714" s="2" t="inlineStr"/>
    </row>
    <row r="715" ht="15" customHeight="1">
      <c r="A715" t="inlineStr">
        <is>
          <t>A 34243-2025</t>
        </is>
      </c>
      <c r="B715" s="1" t="n">
        <v>45845</v>
      </c>
      <c r="C715" s="1" t="n">
        <v>46035</v>
      </c>
      <c r="D715" t="inlineStr">
        <is>
          <t>VÄRMLANDS LÄN</t>
        </is>
      </c>
      <c r="E715" t="inlineStr">
        <is>
          <t>ÅRJÄNG</t>
        </is>
      </c>
      <c r="G715" t="n">
        <v>2.6</v>
      </c>
      <c r="H715" t="n">
        <v>0</v>
      </c>
      <c r="I715" t="n">
        <v>0</v>
      </c>
      <c r="J715" t="n">
        <v>0</v>
      </c>
      <c r="K715" t="n">
        <v>0</v>
      </c>
      <c r="L715" t="n">
        <v>0</v>
      </c>
      <c r="M715" t="n">
        <v>0</v>
      </c>
      <c r="N715" t="n">
        <v>0</v>
      </c>
      <c r="O715" t="n">
        <v>0</v>
      </c>
      <c r="P715" t="n">
        <v>0</v>
      </c>
      <c r="Q715" t="n">
        <v>0</v>
      </c>
      <c r="R715" s="2" t="inlineStr"/>
    </row>
    <row r="716" ht="15" customHeight="1">
      <c r="A716" t="inlineStr">
        <is>
          <t>A 34248-2025</t>
        </is>
      </c>
      <c r="B716" s="1" t="n">
        <v>45845</v>
      </c>
      <c r="C716" s="1" t="n">
        <v>46035</v>
      </c>
      <c r="D716" t="inlineStr">
        <is>
          <t>VÄRMLANDS LÄN</t>
        </is>
      </c>
      <c r="E716" t="inlineStr">
        <is>
          <t>ÅRJÄNG</t>
        </is>
      </c>
      <c r="G716" t="n">
        <v>2.7</v>
      </c>
      <c r="H716" t="n">
        <v>0</v>
      </c>
      <c r="I716" t="n">
        <v>0</v>
      </c>
      <c r="J716" t="n">
        <v>0</v>
      </c>
      <c r="K716" t="n">
        <v>0</v>
      </c>
      <c r="L716" t="n">
        <v>0</v>
      </c>
      <c r="M716" t="n">
        <v>0</v>
      </c>
      <c r="N716" t="n">
        <v>0</v>
      </c>
      <c r="O716" t="n">
        <v>0</v>
      </c>
      <c r="P716" t="n">
        <v>0</v>
      </c>
      <c r="Q716" t="n">
        <v>0</v>
      </c>
      <c r="R716" s="2" t="inlineStr"/>
    </row>
    <row r="717" ht="15" customHeight="1">
      <c r="A717" t="inlineStr">
        <is>
          <t>A 34252-2025</t>
        </is>
      </c>
      <c r="B717" s="1" t="n">
        <v>45845</v>
      </c>
      <c r="C717" s="1" t="n">
        <v>46035</v>
      </c>
      <c r="D717" t="inlineStr">
        <is>
          <t>VÄRMLANDS LÄN</t>
        </is>
      </c>
      <c r="E717" t="inlineStr">
        <is>
          <t>ÅRJÄNG</t>
        </is>
      </c>
      <c r="G717" t="n">
        <v>7.1</v>
      </c>
      <c r="H717" t="n">
        <v>0</v>
      </c>
      <c r="I717" t="n">
        <v>0</v>
      </c>
      <c r="J717" t="n">
        <v>0</v>
      </c>
      <c r="K717" t="n">
        <v>0</v>
      </c>
      <c r="L717" t="n">
        <v>0</v>
      </c>
      <c r="M717" t="n">
        <v>0</v>
      </c>
      <c r="N717" t="n">
        <v>0</v>
      </c>
      <c r="O717" t="n">
        <v>0</v>
      </c>
      <c r="P717" t="n">
        <v>0</v>
      </c>
      <c r="Q717" t="n">
        <v>0</v>
      </c>
      <c r="R717" s="2" t="inlineStr"/>
      <c r="U717">
        <f>HYPERLINK("https://klasma.github.io/Logging_1765/knärot/A 34252-2025 karta knärot.png", "A 34252-2025")</f>
        <v/>
      </c>
      <c r="V717">
        <f>HYPERLINK("https://klasma.github.io/Logging_1765/klagomål/A 34252-2025 FSC-klagomål.docx", "A 34252-2025")</f>
        <v/>
      </c>
      <c r="W717">
        <f>HYPERLINK("https://klasma.github.io/Logging_1765/klagomålsmail/A 34252-2025 FSC-klagomål mail.docx", "A 34252-2025")</f>
        <v/>
      </c>
      <c r="X717">
        <f>HYPERLINK("https://klasma.github.io/Logging_1765/tillsyn/A 34252-2025 tillsynsbegäran.docx", "A 34252-2025")</f>
        <v/>
      </c>
      <c r="Y717">
        <f>HYPERLINK("https://klasma.github.io/Logging_1765/tillsynsmail/A 34252-2025 tillsynsbegäran mail.docx", "A 34252-2025")</f>
        <v/>
      </c>
    </row>
    <row r="718" ht="15" customHeight="1">
      <c r="A718" t="inlineStr">
        <is>
          <t>A 34077-2025</t>
        </is>
      </c>
      <c r="B718" s="1" t="n">
        <v>45845.45206018518</v>
      </c>
      <c r="C718" s="1" t="n">
        <v>46035</v>
      </c>
      <c r="D718" t="inlineStr">
        <is>
          <t>VÄRMLANDS LÄN</t>
        </is>
      </c>
      <c r="E718" t="inlineStr">
        <is>
          <t>ÅRJÄNG</t>
        </is>
      </c>
      <c r="G718" t="n">
        <v>2.3</v>
      </c>
      <c r="H718" t="n">
        <v>0</v>
      </c>
      <c r="I718" t="n">
        <v>0</v>
      </c>
      <c r="J718" t="n">
        <v>0</v>
      </c>
      <c r="K718" t="n">
        <v>0</v>
      </c>
      <c r="L718" t="n">
        <v>0</v>
      </c>
      <c r="M718" t="n">
        <v>0</v>
      </c>
      <c r="N718" t="n">
        <v>0</v>
      </c>
      <c r="O718" t="n">
        <v>0</v>
      </c>
      <c r="P718" t="n">
        <v>0</v>
      </c>
      <c r="Q718" t="n">
        <v>0</v>
      </c>
      <c r="R718" s="2" t="inlineStr"/>
    </row>
    <row r="719" ht="15" customHeight="1">
      <c r="A719" t="inlineStr">
        <is>
          <t>A 14340-2023</t>
        </is>
      </c>
      <c r="B719" s="1" t="n">
        <v>45012.36368055556</v>
      </c>
      <c r="C719" s="1" t="n">
        <v>46035</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49795-2024</t>
        </is>
      </c>
      <c r="B720" s="1" t="n">
        <v>45597.3713425926</v>
      </c>
      <c r="C720" s="1" t="n">
        <v>46035</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24342-2024</t>
        </is>
      </c>
      <c r="B721" s="1" t="n">
        <v>45457</v>
      </c>
      <c r="C721" s="1" t="n">
        <v>46035</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60194-2025</t>
        </is>
      </c>
      <c r="B722" s="1" t="n">
        <v>45994</v>
      </c>
      <c r="C722" s="1" t="n">
        <v>46035</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2116-2025</t>
        </is>
      </c>
      <c r="B723" s="1" t="n">
        <v>45672</v>
      </c>
      <c r="C723" s="1" t="n">
        <v>46035</v>
      </c>
      <c r="D723" t="inlineStr">
        <is>
          <t>VÄRMLANDS LÄN</t>
        </is>
      </c>
      <c r="E723" t="inlineStr">
        <is>
          <t>ÅRJÄNG</t>
        </is>
      </c>
      <c r="G723" t="n">
        <v>3.8</v>
      </c>
      <c r="H723" t="n">
        <v>0</v>
      </c>
      <c r="I723" t="n">
        <v>0</v>
      </c>
      <c r="J723" t="n">
        <v>0</v>
      </c>
      <c r="K723" t="n">
        <v>0</v>
      </c>
      <c r="L723" t="n">
        <v>0</v>
      </c>
      <c r="M723" t="n">
        <v>0</v>
      </c>
      <c r="N723" t="n">
        <v>0</v>
      </c>
      <c r="O723" t="n">
        <v>0</v>
      </c>
      <c r="P723" t="n">
        <v>0</v>
      </c>
      <c r="Q723" t="n">
        <v>0</v>
      </c>
      <c r="R723" s="2" t="inlineStr"/>
    </row>
    <row r="724" ht="15" customHeight="1">
      <c r="A724" t="inlineStr">
        <is>
          <t>A 53726-2021</t>
        </is>
      </c>
      <c r="B724" s="1" t="n">
        <v>44469.51079861111</v>
      </c>
      <c r="C724" s="1" t="n">
        <v>46035</v>
      </c>
      <c r="D724" t="inlineStr">
        <is>
          <t>VÄRMLANDS LÄN</t>
        </is>
      </c>
      <c r="E724" t="inlineStr">
        <is>
          <t>ÅRJÄNG</t>
        </is>
      </c>
      <c r="G724" t="n">
        <v>3.2</v>
      </c>
      <c r="H724" t="n">
        <v>0</v>
      </c>
      <c r="I724" t="n">
        <v>0</v>
      </c>
      <c r="J724" t="n">
        <v>0</v>
      </c>
      <c r="K724" t="n">
        <v>0</v>
      </c>
      <c r="L724" t="n">
        <v>0</v>
      </c>
      <c r="M724" t="n">
        <v>0</v>
      </c>
      <c r="N724" t="n">
        <v>0</v>
      </c>
      <c r="O724" t="n">
        <v>0</v>
      </c>
      <c r="P724" t="n">
        <v>0</v>
      </c>
      <c r="Q724" t="n">
        <v>0</v>
      </c>
      <c r="R724" s="2" t="inlineStr"/>
    </row>
    <row r="725" ht="15" customHeight="1">
      <c r="A725" t="inlineStr">
        <is>
          <t>A 13784-2024</t>
        </is>
      </c>
      <c r="B725" s="1" t="n">
        <v>45391.33817129629</v>
      </c>
      <c r="C725" s="1" t="n">
        <v>46035</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34230-2025</t>
        </is>
      </c>
      <c r="B726" s="1" t="n">
        <v>45845</v>
      </c>
      <c r="C726" s="1" t="n">
        <v>46035</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34235-2025</t>
        </is>
      </c>
      <c r="B727" s="1" t="n">
        <v>45845</v>
      </c>
      <c r="C727" s="1" t="n">
        <v>46035</v>
      </c>
      <c r="D727" t="inlineStr">
        <is>
          <t>VÄRMLANDS LÄN</t>
        </is>
      </c>
      <c r="E727" t="inlineStr">
        <is>
          <t>ÅRJÄNG</t>
        </is>
      </c>
      <c r="G727" t="n">
        <v>3.5</v>
      </c>
      <c r="H727" t="n">
        <v>0</v>
      </c>
      <c r="I727" t="n">
        <v>0</v>
      </c>
      <c r="J727" t="n">
        <v>0</v>
      </c>
      <c r="K727" t="n">
        <v>0</v>
      </c>
      <c r="L727" t="n">
        <v>0</v>
      </c>
      <c r="M727" t="n">
        <v>0</v>
      </c>
      <c r="N727" t="n">
        <v>0</v>
      </c>
      <c r="O727" t="n">
        <v>0</v>
      </c>
      <c r="P727" t="n">
        <v>0</v>
      </c>
      <c r="Q727" t="n">
        <v>0</v>
      </c>
      <c r="R727" s="2" t="inlineStr"/>
    </row>
    <row r="728" ht="15" customHeight="1">
      <c r="A728" t="inlineStr">
        <is>
          <t>A 60279-2025</t>
        </is>
      </c>
      <c r="B728" s="1" t="n">
        <v>45994</v>
      </c>
      <c r="C728" s="1" t="n">
        <v>46035</v>
      </c>
      <c r="D728" t="inlineStr">
        <is>
          <t>VÄRMLANDS LÄN</t>
        </is>
      </c>
      <c r="E728" t="inlineStr">
        <is>
          <t>ÅRJÄNG</t>
        </is>
      </c>
      <c r="G728" t="n">
        <v>0.6</v>
      </c>
      <c r="H728" t="n">
        <v>0</v>
      </c>
      <c r="I728" t="n">
        <v>0</v>
      </c>
      <c r="J728" t="n">
        <v>0</v>
      </c>
      <c r="K728" t="n">
        <v>0</v>
      </c>
      <c r="L728" t="n">
        <v>0</v>
      </c>
      <c r="M728" t="n">
        <v>0</v>
      </c>
      <c r="N728" t="n">
        <v>0</v>
      </c>
      <c r="O728" t="n">
        <v>0</v>
      </c>
      <c r="P728" t="n">
        <v>0</v>
      </c>
      <c r="Q728" t="n">
        <v>0</v>
      </c>
      <c r="R728" s="2" t="inlineStr"/>
    </row>
    <row r="729" ht="15" customHeight="1">
      <c r="A729" t="inlineStr">
        <is>
          <t>A 60283-2025</t>
        </is>
      </c>
      <c r="B729" s="1" t="n">
        <v>45994</v>
      </c>
      <c r="C729" s="1" t="n">
        <v>46035</v>
      </c>
      <c r="D729" t="inlineStr">
        <is>
          <t>VÄRMLANDS LÄN</t>
        </is>
      </c>
      <c r="E729" t="inlineStr">
        <is>
          <t>ÅRJÄNG</t>
        </is>
      </c>
      <c r="G729" t="n">
        <v>0.6</v>
      </c>
      <c r="H729" t="n">
        <v>0</v>
      </c>
      <c r="I729" t="n">
        <v>0</v>
      </c>
      <c r="J729" t="n">
        <v>0</v>
      </c>
      <c r="K729" t="n">
        <v>0</v>
      </c>
      <c r="L729" t="n">
        <v>0</v>
      </c>
      <c r="M729" t="n">
        <v>0</v>
      </c>
      <c r="N729" t="n">
        <v>0</v>
      </c>
      <c r="O729" t="n">
        <v>0</v>
      </c>
      <c r="P729" t="n">
        <v>0</v>
      </c>
      <c r="Q729" t="n">
        <v>0</v>
      </c>
      <c r="R729" s="2" t="inlineStr"/>
    </row>
    <row r="730" ht="15" customHeight="1">
      <c r="A730" t="inlineStr">
        <is>
          <t>A 13157-2024</t>
        </is>
      </c>
      <c r="B730" s="1" t="n">
        <v>45386</v>
      </c>
      <c r="C730" s="1" t="n">
        <v>46035</v>
      </c>
      <c r="D730" t="inlineStr">
        <is>
          <t>VÄRMLANDS LÄN</t>
        </is>
      </c>
      <c r="E730" t="inlineStr">
        <is>
          <t>ÅRJÄNG</t>
        </is>
      </c>
      <c r="G730" t="n">
        <v>1.8</v>
      </c>
      <c r="H730" t="n">
        <v>0</v>
      </c>
      <c r="I730" t="n">
        <v>0</v>
      </c>
      <c r="J730" t="n">
        <v>0</v>
      </c>
      <c r="K730" t="n">
        <v>0</v>
      </c>
      <c r="L730" t="n">
        <v>0</v>
      </c>
      <c r="M730" t="n">
        <v>0</v>
      </c>
      <c r="N730" t="n">
        <v>0</v>
      </c>
      <c r="O730" t="n">
        <v>0</v>
      </c>
      <c r="P730" t="n">
        <v>0</v>
      </c>
      <c r="Q730" t="n">
        <v>0</v>
      </c>
      <c r="R730" s="2" t="inlineStr"/>
    </row>
    <row r="731" ht="15" customHeight="1">
      <c r="A731" t="inlineStr">
        <is>
          <t>A 50509-2024</t>
        </is>
      </c>
      <c r="B731" s="1" t="n">
        <v>45601</v>
      </c>
      <c r="C731" s="1" t="n">
        <v>46035</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32773-2024</t>
        </is>
      </c>
      <c r="B732" s="1" t="n">
        <v>45516.49834490741</v>
      </c>
      <c r="C732" s="1" t="n">
        <v>46035</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60265-2025</t>
        </is>
      </c>
      <c r="B733" s="1" t="n">
        <v>45994</v>
      </c>
      <c r="C733" s="1" t="n">
        <v>46035</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11874-2025</t>
        </is>
      </c>
      <c r="B734" s="1" t="n">
        <v>45728.43699074074</v>
      </c>
      <c r="C734" s="1" t="n">
        <v>46035</v>
      </c>
      <c r="D734" t="inlineStr">
        <is>
          <t>VÄRMLANDS LÄN</t>
        </is>
      </c>
      <c r="E734" t="inlineStr">
        <is>
          <t>ÅRJÄNG</t>
        </is>
      </c>
      <c r="F734" t="inlineStr">
        <is>
          <t>Övriga Aktiebolag</t>
        </is>
      </c>
      <c r="G734" t="n">
        <v>3.5</v>
      </c>
      <c r="H734" t="n">
        <v>0</v>
      </c>
      <c r="I734" t="n">
        <v>0</v>
      </c>
      <c r="J734" t="n">
        <v>0</v>
      </c>
      <c r="K734" t="n">
        <v>0</v>
      </c>
      <c r="L734" t="n">
        <v>0</v>
      </c>
      <c r="M734" t="n">
        <v>0</v>
      </c>
      <c r="N734" t="n">
        <v>0</v>
      </c>
      <c r="O734" t="n">
        <v>0</v>
      </c>
      <c r="P734" t="n">
        <v>0</v>
      </c>
      <c r="Q734" t="n">
        <v>0</v>
      </c>
      <c r="R734" s="2" t="inlineStr"/>
    </row>
    <row r="735" ht="15" customHeight="1">
      <c r="A735" t="inlineStr">
        <is>
          <t>A 34839-2025</t>
        </is>
      </c>
      <c r="B735" s="1" t="n">
        <v>45849.39505787037</v>
      </c>
      <c r="C735" s="1" t="n">
        <v>46035</v>
      </c>
      <c r="D735" t="inlineStr">
        <is>
          <t>VÄRMLANDS LÄN</t>
        </is>
      </c>
      <c r="E735" t="inlineStr">
        <is>
          <t>ÅRJÄNG</t>
        </is>
      </c>
      <c r="G735" t="n">
        <v>3.7</v>
      </c>
      <c r="H735" t="n">
        <v>0</v>
      </c>
      <c r="I735" t="n">
        <v>0</v>
      </c>
      <c r="J735" t="n">
        <v>0</v>
      </c>
      <c r="K735" t="n">
        <v>0</v>
      </c>
      <c r="L735" t="n">
        <v>0</v>
      </c>
      <c r="M735" t="n">
        <v>0</v>
      </c>
      <c r="N735" t="n">
        <v>0</v>
      </c>
      <c r="O735" t="n">
        <v>0</v>
      </c>
      <c r="P735" t="n">
        <v>0</v>
      </c>
      <c r="Q735" t="n">
        <v>0</v>
      </c>
      <c r="R735" s="2" t="inlineStr"/>
    </row>
    <row r="736" ht="15" customHeight="1">
      <c r="A736" t="inlineStr">
        <is>
          <t>A 15949-2025</t>
        </is>
      </c>
      <c r="B736" s="1" t="n">
        <v>45749</v>
      </c>
      <c r="C736" s="1" t="n">
        <v>46035</v>
      </c>
      <c r="D736" t="inlineStr">
        <is>
          <t>VÄRMLANDS LÄN</t>
        </is>
      </c>
      <c r="E736" t="inlineStr">
        <is>
          <t>ÅRJÄNG</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34840-2025</t>
        </is>
      </c>
      <c r="B737" s="1" t="n">
        <v>45849</v>
      </c>
      <c r="C737" s="1" t="n">
        <v>46035</v>
      </c>
      <c r="D737" t="inlineStr">
        <is>
          <t>VÄRMLANDS LÄN</t>
        </is>
      </c>
      <c r="E737" t="inlineStr">
        <is>
          <t>ÅRJÄNG</t>
        </is>
      </c>
      <c r="G737" t="n">
        <v>2.3</v>
      </c>
      <c r="H737" t="n">
        <v>0</v>
      </c>
      <c r="I737" t="n">
        <v>0</v>
      </c>
      <c r="J737" t="n">
        <v>0</v>
      </c>
      <c r="K737" t="n">
        <v>0</v>
      </c>
      <c r="L737" t="n">
        <v>0</v>
      </c>
      <c r="M737" t="n">
        <v>0</v>
      </c>
      <c r="N737" t="n">
        <v>0</v>
      </c>
      <c r="O737" t="n">
        <v>0</v>
      </c>
      <c r="P737" t="n">
        <v>0</v>
      </c>
      <c r="Q737" t="n">
        <v>0</v>
      </c>
      <c r="R737" s="2" t="inlineStr"/>
    </row>
    <row r="738" ht="15" customHeight="1">
      <c r="A738" t="inlineStr">
        <is>
          <t>A 35104-2025</t>
        </is>
      </c>
      <c r="B738" s="1" t="n">
        <v>45852.57070601852</v>
      </c>
      <c r="C738" s="1" t="n">
        <v>46035</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8246-2025</t>
        </is>
      </c>
      <c r="B739" s="1" t="n">
        <v>45708.48710648148</v>
      </c>
      <c r="C739" s="1" t="n">
        <v>46035</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35726-2022</t>
        </is>
      </c>
      <c r="B740" s="1" t="n">
        <v>44799</v>
      </c>
      <c r="C740" s="1" t="n">
        <v>46035</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3861-2025</t>
        </is>
      </c>
      <c r="B741" s="1" t="n">
        <v>45683</v>
      </c>
      <c r="C741" s="1" t="n">
        <v>46035</v>
      </c>
      <c r="D741" t="inlineStr">
        <is>
          <t>VÄRMLANDS LÄN</t>
        </is>
      </c>
      <c r="E741" t="inlineStr">
        <is>
          <t>ÅRJÄNG</t>
        </is>
      </c>
      <c r="G741" t="n">
        <v>2.4</v>
      </c>
      <c r="H741" t="n">
        <v>0</v>
      </c>
      <c r="I741" t="n">
        <v>0</v>
      </c>
      <c r="J741" t="n">
        <v>0</v>
      </c>
      <c r="K741" t="n">
        <v>0</v>
      </c>
      <c r="L741" t="n">
        <v>0</v>
      </c>
      <c r="M741" t="n">
        <v>0</v>
      </c>
      <c r="N741" t="n">
        <v>0</v>
      </c>
      <c r="O741" t="n">
        <v>0</v>
      </c>
      <c r="P741" t="n">
        <v>0</v>
      </c>
      <c r="Q741" t="n">
        <v>0</v>
      </c>
      <c r="R741" s="2" t="inlineStr"/>
    </row>
    <row r="742" ht="15" customHeight="1">
      <c r="A742" t="inlineStr">
        <is>
          <t>A 34831-2025</t>
        </is>
      </c>
      <c r="B742" s="1" t="n">
        <v>45849</v>
      </c>
      <c r="C742" s="1" t="n">
        <v>46035</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60000-2024</t>
        </is>
      </c>
      <c r="B743" s="1" t="n">
        <v>45642</v>
      </c>
      <c r="C743" s="1" t="n">
        <v>46035</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52709-2025</t>
        </is>
      </c>
      <c r="B744" s="1" t="n">
        <v>45953</v>
      </c>
      <c r="C744" s="1" t="n">
        <v>46035</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35295-2025</t>
        </is>
      </c>
      <c r="B745" s="1" t="n">
        <v>45854.40325231481</v>
      </c>
      <c r="C745" s="1" t="n">
        <v>46035</v>
      </c>
      <c r="D745" t="inlineStr">
        <is>
          <t>VÄRMLANDS LÄN</t>
        </is>
      </c>
      <c r="E745" t="inlineStr">
        <is>
          <t>ÅRJÄNG</t>
        </is>
      </c>
      <c r="G745" t="n">
        <v>6.2</v>
      </c>
      <c r="H745" t="n">
        <v>0</v>
      </c>
      <c r="I745" t="n">
        <v>0</v>
      </c>
      <c r="J745" t="n">
        <v>0</v>
      </c>
      <c r="K745" t="n">
        <v>0</v>
      </c>
      <c r="L745" t="n">
        <v>0</v>
      </c>
      <c r="M745" t="n">
        <v>0</v>
      </c>
      <c r="N745" t="n">
        <v>0</v>
      </c>
      <c r="O745" t="n">
        <v>0</v>
      </c>
      <c r="P745" t="n">
        <v>0</v>
      </c>
      <c r="Q745" t="n">
        <v>0</v>
      </c>
      <c r="R745" s="2" t="inlineStr"/>
    </row>
    <row r="746" ht="15" customHeight="1">
      <c r="A746" t="inlineStr">
        <is>
          <t>A 35304-2025</t>
        </is>
      </c>
      <c r="B746" s="1" t="n">
        <v>45854.43931712963</v>
      </c>
      <c r="C746" s="1" t="n">
        <v>46035</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34163-2025</t>
        </is>
      </c>
      <c r="B747" s="1" t="n">
        <v>45844</v>
      </c>
      <c r="C747" s="1" t="n">
        <v>46035</v>
      </c>
      <c r="D747" t="inlineStr">
        <is>
          <t>VÄRMLANDS LÄN</t>
        </is>
      </c>
      <c r="E747" t="inlineStr">
        <is>
          <t>ÅRJÄNG</t>
        </is>
      </c>
      <c r="G747" t="n">
        <v>4.5</v>
      </c>
      <c r="H747" t="n">
        <v>0</v>
      </c>
      <c r="I747" t="n">
        <v>0</v>
      </c>
      <c r="J747" t="n">
        <v>0</v>
      </c>
      <c r="K747" t="n">
        <v>0</v>
      </c>
      <c r="L747" t="n">
        <v>0</v>
      </c>
      <c r="M747" t="n">
        <v>0</v>
      </c>
      <c r="N747" t="n">
        <v>0</v>
      </c>
      <c r="O747" t="n">
        <v>0</v>
      </c>
      <c r="P747" t="n">
        <v>0</v>
      </c>
      <c r="Q747" t="n">
        <v>0</v>
      </c>
      <c r="R747" s="2" t="inlineStr"/>
    </row>
    <row r="748" ht="15" customHeight="1">
      <c r="A748" t="inlineStr">
        <is>
          <t>A 34075-2025</t>
        </is>
      </c>
      <c r="B748" s="1" t="n">
        <v>45845</v>
      </c>
      <c r="C748" s="1" t="n">
        <v>46035</v>
      </c>
      <c r="D748" t="inlineStr">
        <is>
          <t>VÄRMLANDS LÄN</t>
        </is>
      </c>
      <c r="E748" t="inlineStr">
        <is>
          <t>ÅRJÄNG</t>
        </is>
      </c>
      <c r="G748" t="n">
        <v>3.4</v>
      </c>
      <c r="H748" t="n">
        <v>0</v>
      </c>
      <c r="I748" t="n">
        <v>0</v>
      </c>
      <c r="J748" t="n">
        <v>0</v>
      </c>
      <c r="K748" t="n">
        <v>0</v>
      </c>
      <c r="L748" t="n">
        <v>0</v>
      </c>
      <c r="M748" t="n">
        <v>0</v>
      </c>
      <c r="N748" t="n">
        <v>0</v>
      </c>
      <c r="O748" t="n">
        <v>0</v>
      </c>
      <c r="P748" t="n">
        <v>0</v>
      </c>
      <c r="Q748" t="n">
        <v>0</v>
      </c>
      <c r="R748" s="2" t="inlineStr"/>
    </row>
    <row r="749" ht="15" customHeight="1">
      <c r="A749" t="inlineStr">
        <is>
          <t>A 34159-2025</t>
        </is>
      </c>
      <c r="B749" s="1" t="n">
        <v>45844</v>
      </c>
      <c r="C749" s="1" t="n">
        <v>46035</v>
      </c>
      <c r="D749" t="inlineStr">
        <is>
          <t>VÄRMLANDS LÄN</t>
        </is>
      </c>
      <c r="E749" t="inlineStr">
        <is>
          <t>ÅRJÄNG</t>
        </is>
      </c>
      <c r="G749" t="n">
        <v>0.6</v>
      </c>
      <c r="H749" t="n">
        <v>0</v>
      </c>
      <c r="I749" t="n">
        <v>0</v>
      </c>
      <c r="J749" t="n">
        <v>0</v>
      </c>
      <c r="K749" t="n">
        <v>0</v>
      </c>
      <c r="L749" t="n">
        <v>0</v>
      </c>
      <c r="M749" t="n">
        <v>0</v>
      </c>
      <c r="N749" t="n">
        <v>0</v>
      </c>
      <c r="O749" t="n">
        <v>0</v>
      </c>
      <c r="P749" t="n">
        <v>0</v>
      </c>
      <c r="Q749" t="n">
        <v>0</v>
      </c>
      <c r="R749" s="2" t="inlineStr"/>
    </row>
    <row r="750" ht="15" customHeight="1">
      <c r="A750" t="inlineStr">
        <is>
          <t>A 46473-2024</t>
        </is>
      </c>
      <c r="B750" s="1" t="n">
        <v>45582</v>
      </c>
      <c r="C750" s="1" t="n">
        <v>46035</v>
      </c>
      <c r="D750" t="inlineStr">
        <is>
          <t>VÄRMLANDS LÄN</t>
        </is>
      </c>
      <c r="E750" t="inlineStr">
        <is>
          <t>ÅRJÄNG</t>
        </is>
      </c>
      <c r="G750" t="n">
        <v>4</v>
      </c>
      <c r="H750" t="n">
        <v>0</v>
      </c>
      <c r="I750" t="n">
        <v>0</v>
      </c>
      <c r="J750" t="n">
        <v>0</v>
      </c>
      <c r="K750" t="n">
        <v>0</v>
      </c>
      <c r="L750" t="n">
        <v>0</v>
      </c>
      <c r="M750" t="n">
        <v>0</v>
      </c>
      <c r="N750" t="n">
        <v>0</v>
      </c>
      <c r="O750" t="n">
        <v>0</v>
      </c>
      <c r="P750" t="n">
        <v>0</v>
      </c>
      <c r="Q750" t="n">
        <v>0</v>
      </c>
      <c r="R750" s="2" t="inlineStr"/>
    </row>
    <row r="751" ht="15" customHeight="1">
      <c r="A751" t="inlineStr">
        <is>
          <t>A 60658-2025</t>
        </is>
      </c>
      <c r="B751" s="1" t="n">
        <v>45996</v>
      </c>
      <c r="C751" s="1" t="n">
        <v>46035</v>
      </c>
      <c r="D751" t="inlineStr">
        <is>
          <t>VÄRMLANDS LÄN</t>
        </is>
      </c>
      <c r="E751" t="inlineStr">
        <is>
          <t>ÅRJÄNG</t>
        </is>
      </c>
      <c r="G751" t="n">
        <v>10.5</v>
      </c>
      <c r="H751" t="n">
        <v>0</v>
      </c>
      <c r="I751" t="n">
        <v>0</v>
      </c>
      <c r="J751" t="n">
        <v>0</v>
      </c>
      <c r="K751" t="n">
        <v>0</v>
      </c>
      <c r="L751" t="n">
        <v>0</v>
      </c>
      <c r="M751" t="n">
        <v>0</v>
      </c>
      <c r="N751" t="n">
        <v>0</v>
      </c>
      <c r="O751" t="n">
        <v>0</v>
      </c>
      <c r="P751" t="n">
        <v>0</v>
      </c>
      <c r="Q751" t="n">
        <v>0</v>
      </c>
      <c r="R751" s="2" t="inlineStr"/>
    </row>
    <row r="752" ht="15" customHeight="1">
      <c r="A752" t="inlineStr">
        <is>
          <t>A 35414-2025</t>
        </is>
      </c>
      <c r="B752" s="1" t="n">
        <v>45855</v>
      </c>
      <c r="C752" s="1" t="n">
        <v>46035</v>
      </c>
      <c r="D752" t="inlineStr">
        <is>
          <t>VÄRMLANDS LÄN</t>
        </is>
      </c>
      <c r="E752" t="inlineStr">
        <is>
          <t>ÅRJÄNG</t>
        </is>
      </c>
      <c r="F752" t="inlineStr">
        <is>
          <t>Bergvik skog väst AB</t>
        </is>
      </c>
      <c r="G752" t="n">
        <v>6.8</v>
      </c>
      <c r="H752" t="n">
        <v>0</v>
      </c>
      <c r="I752" t="n">
        <v>0</v>
      </c>
      <c r="J752" t="n">
        <v>0</v>
      </c>
      <c r="K752" t="n">
        <v>0</v>
      </c>
      <c r="L752" t="n">
        <v>0</v>
      </c>
      <c r="M752" t="n">
        <v>0</v>
      </c>
      <c r="N752" t="n">
        <v>0</v>
      </c>
      <c r="O752" t="n">
        <v>0</v>
      </c>
      <c r="P752" t="n">
        <v>0</v>
      </c>
      <c r="Q752" t="n">
        <v>0</v>
      </c>
      <c r="R752" s="2" t="inlineStr"/>
    </row>
    <row r="753" ht="15" customHeight="1">
      <c r="A753" t="inlineStr">
        <is>
          <t>A 49780-2024</t>
        </is>
      </c>
      <c r="B753" s="1" t="n">
        <v>45597</v>
      </c>
      <c r="C753" s="1" t="n">
        <v>46035</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61119-2024</t>
        </is>
      </c>
      <c r="B754" s="1" t="n">
        <v>45645.57</v>
      </c>
      <c r="C754" s="1" t="n">
        <v>46035</v>
      </c>
      <c r="D754" t="inlineStr">
        <is>
          <t>VÄRMLANDS LÄN</t>
        </is>
      </c>
      <c r="E754" t="inlineStr">
        <is>
          <t>ÅRJÄNG</t>
        </is>
      </c>
      <c r="G754" t="n">
        <v>2.4</v>
      </c>
      <c r="H754" t="n">
        <v>0</v>
      </c>
      <c r="I754" t="n">
        <v>0</v>
      </c>
      <c r="J754" t="n">
        <v>0</v>
      </c>
      <c r="K754" t="n">
        <v>0</v>
      </c>
      <c r="L754" t="n">
        <v>0</v>
      </c>
      <c r="M754" t="n">
        <v>0</v>
      </c>
      <c r="N754" t="n">
        <v>0</v>
      </c>
      <c r="O754" t="n">
        <v>0</v>
      </c>
      <c r="P754" t="n">
        <v>0</v>
      </c>
      <c r="Q754" t="n">
        <v>0</v>
      </c>
      <c r="R754" s="2" t="inlineStr"/>
    </row>
    <row r="755" ht="15" customHeight="1">
      <c r="A755" t="inlineStr">
        <is>
          <t>A 60903-2023</t>
        </is>
      </c>
      <c r="B755" s="1" t="n">
        <v>45261</v>
      </c>
      <c r="C755" s="1" t="n">
        <v>46035</v>
      </c>
      <c r="D755" t="inlineStr">
        <is>
          <t>VÄRMLANDS LÄN</t>
        </is>
      </c>
      <c r="E755" t="inlineStr">
        <is>
          <t>ÅRJÄNG</t>
        </is>
      </c>
      <c r="G755" t="n">
        <v>2.1</v>
      </c>
      <c r="H755" t="n">
        <v>0</v>
      </c>
      <c r="I755" t="n">
        <v>0</v>
      </c>
      <c r="J755" t="n">
        <v>0</v>
      </c>
      <c r="K755" t="n">
        <v>0</v>
      </c>
      <c r="L755" t="n">
        <v>0</v>
      </c>
      <c r="M755" t="n">
        <v>0</v>
      </c>
      <c r="N755" t="n">
        <v>0</v>
      </c>
      <c r="O755" t="n">
        <v>0</v>
      </c>
      <c r="P755" t="n">
        <v>0</v>
      </c>
      <c r="Q755" t="n">
        <v>0</v>
      </c>
      <c r="R755" s="2" t="inlineStr"/>
    </row>
    <row r="756" ht="15" customHeight="1">
      <c r="A756" t="inlineStr">
        <is>
          <t>A 60663-2025</t>
        </is>
      </c>
      <c r="B756" s="1" t="n">
        <v>45996</v>
      </c>
      <c r="C756" s="1" t="n">
        <v>46035</v>
      </c>
      <c r="D756" t="inlineStr">
        <is>
          <t>VÄRMLANDS LÄN</t>
        </is>
      </c>
      <c r="E756" t="inlineStr">
        <is>
          <t>ÅRJÄNG</t>
        </is>
      </c>
      <c r="G756" t="n">
        <v>1.2</v>
      </c>
      <c r="H756" t="n">
        <v>0</v>
      </c>
      <c r="I756" t="n">
        <v>0</v>
      </c>
      <c r="J756" t="n">
        <v>0</v>
      </c>
      <c r="K756" t="n">
        <v>0</v>
      </c>
      <c r="L756" t="n">
        <v>0</v>
      </c>
      <c r="M756" t="n">
        <v>0</v>
      </c>
      <c r="N756" t="n">
        <v>0</v>
      </c>
      <c r="O756" t="n">
        <v>0</v>
      </c>
      <c r="P756" t="n">
        <v>0</v>
      </c>
      <c r="Q756" t="n">
        <v>0</v>
      </c>
      <c r="R756" s="2" t="inlineStr"/>
    </row>
    <row r="757" ht="15" customHeight="1">
      <c r="A757" t="inlineStr">
        <is>
          <t>A 28382-2022</t>
        </is>
      </c>
      <c r="B757" s="1" t="n">
        <v>44747</v>
      </c>
      <c r="C757" s="1" t="n">
        <v>46035</v>
      </c>
      <c r="D757" t="inlineStr">
        <is>
          <t>VÄRMLANDS LÄN</t>
        </is>
      </c>
      <c r="E757" t="inlineStr">
        <is>
          <t>ÅRJÄNG</t>
        </is>
      </c>
      <c r="F757" t="inlineStr">
        <is>
          <t>Naturvårdsverket</t>
        </is>
      </c>
      <c r="G757" t="n">
        <v>1</v>
      </c>
      <c r="H757" t="n">
        <v>0</v>
      </c>
      <c r="I757" t="n">
        <v>0</v>
      </c>
      <c r="J757" t="n">
        <v>0</v>
      </c>
      <c r="K757" t="n">
        <v>0</v>
      </c>
      <c r="L757" t="n">
        <v>0</v>
      </c>
      <c r="M757" t="n">
        <v>0</v>
      </c>
      <c r="N757" t="n">
        <v>0</v>
      </c>
      <c r="O757" t="n">
        <v>0</v>
      </c>
      <c r="P757" t="n">
        <v>0</v>
      </c>
      <c r="Q757" t="n">
        <v>0</v>
      </c>
      <c r="R757" s="2" t="inlineStr"/>
    </row>
    <row r="758" ht="15" customHeight="1">
      <c r="A758" t="inlineStr">
        <is>
          <t>A 28439-2022</t>
        </is>
      </c>
      <c r="B758" s="1" t="n">
        <v>44747</v>
      </c>
      <c r="C758" s="1" t="n">
        <v>46035</v>
      </c>
      <c r="D758" t="inlineStr">
        <is>
          <t>VÄRMLANDS LÄN</t>
        </is>
      </c>
      <c r="E758" t="inlineStr">
        <is>
          <t>ÅRJÄNG</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35869-2025</t>
        </is>
      </c>
      <c r="B759" s="1" t="n">
        <v>45862</v>
      </c>
      <c r="C759" s="1" t="n">
        <v>46035</v>
      </c>
      <c r="D759" t="inlineStr">
        <is>
          <t>VÄRMLANDS LÄN</t>
        </is>
      </c>
      <c r="E759" t="inlineStr">
        <is>
          <t>ÅRJÄNG</t>
        </is>
      </c>
      <c r="F759" t="inlineStr">
        <is>
          <t>Bergvik skog väst AB</t>
        </is>
      </c>
      <c r="G759" t="n">
        <v>4.1</v>
      </c>
      <c r="H759" t="n">
        <v>0</v>
      </c>
      <c r="I759" t="n">
        <v>0</v>
      </c>
      <c r="J759" t="n">
        <v>0</v>
      </c>
      <c r="K759" t="n">
        <v>0</v>
      </c>
      <c r="L759" t="n">
        <v>0</v>
      </c>
      <c r="M759" t="n">
        <v>0</v>
      </c>
      <c r="N759" t="n">
        <v>0</v>
      </c>
      <c r="O759" t="n">
        <v>0</v>
      </c>
      <c r="P759" t="n">
        <v>0</v>
      </c>
      <c r="Q759" t="n">
        <v>0</v>
      </c>
      <c r="R759" s="2" t="inlineStr"/>
    </row>
    <row r="760" ht="15" customHeight="1">
      <c r="A760" t="inlineStr">
        <is>
          <t>A 48805-2022</t>
        </is>
      </c>
      <c r="B760" s="1" t="n">
        <v>44854</v>
      </c>
      <c r="C760" s="1" t="n">
        <v>46035</v>
      </c>
      <c r="D760" t="inlineStr">
        <is>
          <t>VÄRMLANDS LÄN</t>
        </is>
      </c>
      <c r="E760" t="inlineStr">
        <is>
          <t>ÅRJÄNG</t>
        </is>
      </c>
      <c r="G760" t="n">
        <v>4</v>
      </c>
      <c r="H760" t="n">
        <v>0</v>
      </c>
      <c r="I760" t="n">
        <v>0</v>
      </c>
      <c r="J760" t="n">
        <v>0</v>
      </c>
      <c r="K760" t="n">
        <v>0</v>
      </c>
      <c r="L760" t="n">
        <v>0</v>
      </c>
      <c r="M760" t="n">
        <v>0</v>
      </c>
      <c r="N760" t="n">
        <v>0</v>
      </c>
      <c r="O760" t="n">
        <v>0</v>
      </c>
      <c r="P760" t="n">
        <v>0</v>
      </c>
      <c r="Q760" t="n">
        <v>0</v>
      </c>
      <c r="R760" s="2" t="inlineStr"/>
    </row>
    <row r="761" ht="15" customHeight="1">
      <c r="A761" t="inlineStr">
        <is>
          <t>A 36143-2025</t>
        </is>
      </c>
      <c r="B761" s="1" t="n">
        <v>45866.68708333333</v>
      </c>
      <c r="C761" s="1" t="n">
        <v>46035</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9990-2025</t>
        </is>
      </c>
      <c r="B762" s="1" t="n">
        <v>45719</v>
      </c>
      <c r="C762" s="1" t="n">
        <v>46035</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9992-2025</t>
        </is>
      </c>
      <c r="B763" s="1" t="n">
        <v>45719.43708333333</v>
      </c>
      <c r="C763" s="1" t="n">
        <v>46035</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37409-2025</t>
        </is>
      </c>
      <c r="B764" s="1" t="n">
        <v>45877</v>
      </c>
      <c r="C764" s="1" t="n">
        <v>46035</v>
      </c>
      <c r="D764" t="inlineStr">
        <is>
          <t>VÄRMLANDS LÄN</t>
        </is>
      </c>
      <c r="E764" t="inlineStr">
        <is>
          <t>ÅRJÄNG</t>
        </is>
      </c>
      <c r="G764" t="n">
        <v>4.8</v>
      </c>
      <c r="H764" t="n">
        <v>0</v>
      </c>
      <c r="I764" t="n">
        <v>0</v>
      </c>
      <c r="J764" t="n">
        <v>0</v>
      </c>
      <c r="K764" t="n">
        <v>0</v>
      </c>
      <c r="L764" t="n">
        <v>0</v>
      </c>
      <c r="M764" t="n">
        <v>0</v>
      </c>
      <c r="N764" t="n">
        <v>0</v>
      </c>
      <c r="O764" t="n">
        <v>0</v>
      </c>
      <c r="P764" t="n">
        <v>0</v>
      </c>
      <c r="Q764" t="n">
        <v>0</v>
      </c>
      <c r="R764" s="2" t="inlineStr"/>
    </row>
    <row r="765" ht="15" customHeight="1">
      <c r="A765" t="inlineStr">
        <is>
          <t>A 60657-2025</t>
        </is>
      </c>
      <c r="B765" s="1" t="n">
        <v>45996</v>
      </c>
      <c r="C765" s="1" t="n">
        <v>46035</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60659-2025</t>
        </is>
      </c>
      <c r="B766" s="1" t="n">
        <v>45996</v>
      </c>
      <c r="C766" s="1" t="n">
        <v>46035</v>
      </c>
      <c r="D766" t="inlineStr">
        <is>
          <t>VÄRMLANDS LÄN</t>
        </is>
      </c>
      <c r="E766" t="inlineStr">
        <is>
          <t>ÅRJÄNG</t>
        </is>
      </c>
      <c r="G766" t="n">
        <v>10.2</v>
      </c>
      <c r="H766" t="n">
        <v>0</v>
      </c>
      <c r="I766" t="n">
        <v>0</v>
      </c>
      <c r="J766" t="n">
        <v>0</v>
      </c>
      <c r="K766" t="n">
        <v>0</v>
      </c>
      <c r="L766" t="n">
        <v>0</v>
      </c>
      <c r="M766" t="n">
        <v>0</v>
      </c>
      <c r="N766" t="n">
        <v>0</v>
      </c>
      <c r="O766" t="n">
        <v>0</v>
      </c>
      <c r="P766" t="n">
        <v>0</v>
      </c>
      <c r="Q766" t="n">
        <v>0</v>
      </c>
      <c r="R766" s="2" t="inlineStr"/>
    </row>
    <row r="767" ht="15" customHeight="1">
      <c r="A767" t="inlineStr">
        <is>
          <t>A 34803-2021</t>
        </is>
      </c>
      <c r="B767" s="1" t="n">
        <v>44383</v>
      </c>
      <c r="C767" s="1" t="n">
        <v>46035</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58427-2024</t>
        </is>
      </c>
      <c r="B768" s="1" t="n">
        <v>45634.89083333333</v>
      </c>
      <c r="C768" s="1" t="n">
        <v>46035</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58428-2024</t>
        </is>
      </c>
      <c r="B769" s="1" t="n">
        <v>45634.90734953704</v>
      </c>
      <c r="C769" s="1" t="n">
        <v>46035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17178-2021</t>
        </is>
      </c>
      <c r="B770" s="1" t="n">
        <v>44298.46592592593</v>
      </c>
      <c r="C770" s="1" t="n">
        <v>46035</v>
      </c>
      <c r="D770" t="inlineStr">
        <is>
          <t>VÄRMLANDS LÄN</t>
        </is>
      </c>
      <c r="E770" t="inlineStr">
        <is>
          <t>ÅRJÄNG</t>
        </is>
      </c>
      <c r="G770" t="n">
        <v>4</v>
      </c>
      <c r="H770" t="n">
        <v>0</v>
      </c>
      <c r="I770" t="n">
        <v>0</v>
      </c>
      <c r="J770" t="n">
        <v>0</v>
      </c>
      <c r="K770" t="n">
        <v>0</v>
      </c>
      <c r="L770" t="n">
        <v>0</v>
      </c>
      <c r="M770" t="n">
        <v>0</v>
      </c>
      <c r="N770" t="n">
        <v>0</v>
      </c>
      <c r="O770" t="n">
        <v>0</v>
      </c>
      <c r="P770" t="n">
        <v>0</v>
      </c>
      <c r="Q770" t="n">
        <v>0</v>
      </c>
      <c r="R770" s="2" t="inlineStr"/>
    </row>
    <row r="771" ht="15" customHeight="1">
      <c r="A771" t="inlineStr">
        <is>
          <t>A 10180-2023</t>
        </is>
      </c>
      <c r="B771" s="1" t="n">
        <v>44986</v>
      </c>
      <c r="C771" s="1" t="n">
        <v>46035</v>
      </c>
      <c r="D771" t="inlineStr">
        <is>
          <t>VÄRMLANDS LÄN</t>
        </is>
      </c>
      <c r="E771" t="inlineStr">
        <is>
          <t>ÅRJÄNG</t>
        </is>
      </c>
      <c r="G771" t="n">
        <v>4.6</v>
      </c>
      <c r="H771" t="n">
        <v>0</v>
      </c>
      <c r="I771" t="n">
        <v>0</v>
      </c>
      <c r="J771" t="n">
        <v>0</v>
      </c>
      <c r="K771" t="n">
        <v>0</v>
      </c>
      <c r="L771" t="n">
        <v>0</v>
      </c>
      <c r="M771" t="n">
        <v>0</v>
      </c>
      <c r="N771" t="n">
        <v>0</v>
      </c>
      <c r="O771" t="n">
        <v>0</v>
      </c>
      <c r="P771" t="n">
        <v>0</v>
      </c>
      <c r="Q771" t="n">
        <v>0</v>
      </c>
      <c r="R771" s="2" t="inlineStr"/>
    </row>
    <row r="772" ht="15" customHeight="1">
      <c r="A772" t="inlineStr">
        <is>
          <t>A 69862-2021</t>
        </is>
      </c>
      <c r="B772" s="1" t="n">
        <v>44532</v>
      </c>
      <c r="C772" s="1" t="n">
        <v>46035</v>
      </c>
      <c r="D772" t="inlineStr">
        <is>
          <t>VÄRMLANDS LÄN</t>
        </is>
      </c>
      <c r="E772" t="inlineStr">
        <is>
          <t>ÅRJÄNG</t>
        </is>
      </c>
      <c r="G772" t="n">
        <v>1.6</v>
      </c>
      <c r="H772" t="n">
        <v>0</v>
      </c>
      <c r="I772" t="n">
        <v>0</v>
      </c>
      <c r="J772" t="n">
        <v>0</v>
      </c>
      <c r="K772" t="n">
        <v>0</v>
      </c>
      <c r="L772" t="n">
        <v>0</v>
      </c>
      <c r="M772" t="n">
        <v>0</v>
      </c>
      <c r="N772" t="n">
        <v>0</v>
      </c>
      <c r="O772" t="n">
        <v>0</v>
      </c>
      <c r="P772" t="n">
        <v>0</v>
      </c>
      <c r="Q772" t="n">
        <v>0</v>
      </c>
      <c r="R772" s="2" t="inlineStr"/>
    </row>
    <row r="773" ht="15" customHeight="1">
      <c r="A773" t="inlineStr">
        <is>
          <t>A 29558-2024</t>
        </is>
      </c>
      <c r="B773" s="1" t="n">
        <v>45484</v>
      </c>
      <c r="C773" s="1" t="n">
        <v>46035</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23754-2024</t>
        </is>
      </c>
      <c r="B774" s="1" t="n">
        <v>45455</v>
      </c>
      <c r="C774" s="1" t="n">
        <v>46035</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99-2025</t>
        </is>
      </c>
      <c r="B775" s="1" t="n">
        <v>45649</v>
      </c>
      <c r="C775" s="1" t="n">
        <v>46035</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53103-2025</t>
        </is>
      </c>
      <c r="B776" s="1" t="n">
        <v>45958.43097222222</v>
      </c>
      <c r="C776" s="1" t="n">
        <v>46035</v>
      </c>
      <c r="D776" t="inlineStr">
        <is>
          <t>VÄRMLANDS LÄN</t>
        </is>
      </c>
      <c r="E776" t="inlineStr">
        <is>
          <t>ÅRJÄNG</t>
        </is>
      </c>
      <c r="G776" t="n">
        <v>1.2</v>
      </c>
      <c r="H776" t="n">
        <v>0</v>
      </c>
      <c r="I776" t="n">
        <v>0</v>
      </c>
      <c r="J776" t="n">
        <v>0</v>
      </c>
      <c r="K776" t="n">
        <v>0</v>
      </c>
      <c r="L776" t="n">
        <v>0</v>
      </c>
      <c r="M776" t="n">
        <v>0</v>
      </c>
      <c r="N776" t="n">
        <v>0</v>
      </c>
      <c r="O776" t="n">
        <v>0</v>
      </c>
      <c r="P776" t="n">
        <v>0</v>
      </c>
      <c r="Q776" t="n">
        <v>0</v>
      </c>
      <c r="R776" s="2" t="inlineStr"/>
    </row>
    <row r="777" ht="15" customHeight="1">
      <c r="A777" t="inlineStr">
        <is>
          <t>A 40465-2023</t>
        </is>
      </c>
      <c r="B777" s="1" t="n">
        <v>45170.34325231481</v>
      </c>
      <c r="C777" s="1" t="n">
        <v>46035</v>
      </c>
      <c r="D777" t="inlineStr">
        <is>
          <t>VÄRMLANDS LÄN</t>
        </is>
      </c>
      <c r="E777" t="inlineStr">
        <is>
          <t>ÅRJÄNG</t>
        </is>
      </c>
      <c r="G777" t="n">
        <v>1.7</v>
      </c>
      <c r="H777" t="n">
        <v>0</v>
      </c>
      <c r="I777" t="n">
        <v>0</v>
      </c>
      <c r="J777" t="n">
        <v>0</v>
      </c>
      <c r="K777" t="n">
        <v>0</v>
      </c>
      <c r="L777" t="n">
        <v>0</v>
      </c>
      <c r="M777" t="n">
        <v>0</v>
      </c>
      <c r="N777" t="n">
        <v>0</v>
      </c>
      <c r="O777" t="n">
        <v>0</v>
      </c>
      <c r="P777" t="n">
        <v>0</v>
      </c>
      <c r="Q777" t="n">
        <v>0</v>
      </c>
      <c r="R777" s="2" t="inlineStr"/>
    </row>
    <row r="778" ht="15" customHeight="1">
      <c r="A778" t="inlineStr">
        <is>
          <t>A 53022-2025</t>
        </is>
      </c>
      <c r="B778" s="1" t="n">
        <v>45958.24024305555</v>
      </c>
      <c r="C778" s="1" t="n">
        <v>46035</v>
      </c>
      <c r="D778" t="inlineStr">
        <is>
          <t>VÄRMLANDS LÄN</t>
        </is>
      </c>
      <c r="E778" t="inlineStr">
        <is>
          <t>ÅRJÄNG</t>
        </is>
      </c>
      <c r="G778" t="n">
        <v>1.3</v>
      </c>
      <c r="H778" t="n">
        <v>0</v>
      </c>
      <c r="I778" t="n">
        <v>0</v>
      </c>
      <c r="J778" t="n">
        <v>0</v>
      </c>
      <c r="K778" t="n">
        <v>0</v>
      </c>
      <c r="L778" t="n">
        <v>0</v>
      </c>
      <c r="M778" t="n">
        <v>0</v>
      </c>
      <c r="N778" t="n">
        <v>0</v>
      </c>
      <c r="O778" t="n">
        <v>0</v>
      </c>
      <c r="P778" t="n">
        <v>0</v>
      </c>
      <c r="Q778" t="n">
        <v>0</v>
      </c>
      <c r="R778" s="2" t="inlineStr"/>
    </row>
    <row r="779" ht="15" customHeight="1">
      <c r="A779" t="inlineStr">
        <is>
          <t>A 36461-2025</t>
        </is>
      </c>
      <c r="B779" s="1" t="n">
        <v>45869</v>
      </c>
      <c r="C779" s="1" t="n">
        <v>46035</v>
      </c>
      <c r="D779" t="inlineStr">
        <is>
          <t>VÄRMLANDS LÄN</t>
        </is>
      </c>
      <c r="E779" t="inlineStr">
        <is>
          <t>ÅRJÄNG</t>
        </is>
      </c>
      <c r="G779" t="n">
        <v>3.7</v>
      </c>
      <c r="H779" t="n">
        <v>0</v>
      </c>
      <c r="I779" t="n">
        <v>0</v>
      </c>
      <c r="J779" t="n">
        <v>0</v>
      </c>
      <c r="K779" t="n">
        <v>0</v>
      </c>
      <c r="L779" t="n">
        <v>0</v>
      </c>
      <c r="M779" t="n">
        <v>0</v>
      </c>
      <c r="N779" t="n">
        <v>0</v>
      </c>
      <c r="O779" t="n">
        <v>0</v>
      </c>
      <c r="P779" t="n">
        <v>0</v>
      </c>
      <c r="Q779" t="n">
        <v>0</v>
      </c>
      <c r="R779" s="2" t="inlineStr"/>
    </row>
    <row r="780" ht="15" customHeight="1">
      <c r="A780" t="inlineStr">
        <is>
          <t>A 40366-2022</t>
        </is>
      </c>
      <c r="B780" s="1" t="n">
        <v>44823.38884259259</v>
      </c>
      <c r="C780" s="1" t="n">
        <v>46035</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36450-2025</t>
        </is>
      </c>
      <c r="B781" s="1" t="n">
        <v>45869</v>
      </c>
      <c r="C781" s="1" t="n">
        <v>46035</v>
      </c>
      <c r="D781" t="inlineStr">
        <is>
          <t>VÄRMLANDS LÄN</t>
        </is>
      </c>
      <c r="E781" t="inlineStr">
        <is>
          <t>ÅRJÄNG</t>
        </is>
      </c>
      <c r="G781" t="n">
        <v>4.6</v>
      </c>
      <c r="H781" t="n">
        <v>0</v>
      </c>
      <c r="I781" t="n">
        <v>0</v>
      </c>
      <c r="J781" t="n">
        <v>0</v>
      </c>
      <c r="K781" t="n">
        <v>0</v>
      </c>
      <c r="L781" t="n">
        <v>0</v>
      </c>
      <c r="M781" t="n">
        <v>0</v>
      </c>
      <c r="N781" t="n">
        <v>0</v>
      </c>
      <c r="O781" t="n">
        <v>0</v>
      </c>
      <c r="P781" t="n">
        <v>0</v>
      </c>
      <c r="Q781" t="n">
        <v>0</v>
      </c>
      <c r="R781" s="2" t="inlineStr"/>
    </row>
    <row r="782" ht="15" customHeight="1">
      <c r="A782" t="inlineStr">
        <is>
          <t>A 36819-2025</t>
        </is>
      </c>
      <c r="B782" s="1" t="n">
        <v>45873.84164351852</v>
      </c>
      <c r="C782" s="1" t="n">
        <v>46035</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36834-2025</t>
        </is>
      </c>
      <c r="B783" s="1" t="n">
        <v>45874.35965277778</v>
      </c>
      <c r="C783" s="1" t="n">
        <v>46035</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36752-2025</t>
        </is>
      </c>
      <c r="B784" s="1" t="n">
        <v>45873</v>
      </c>
      <c r="C784" s="1" t="n">
        <v>46035</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1279-2025</t>
        </is>
      </c>
      <c r="B785" s="1" t="n">
        <v>45667.48987268518</v>
      </c>
      <c r="C785" s="1" t="n">
        <v>46035</v>
      </c>
      <c r="D785" t="inlineStr">
        <is>
          <t>VÄRMLANDS LÄN</t>
        </is>
      </c>
      <c r="E785" t="inlineStr">
        <is>
          <t>ÅRJÄNG</t>
        </is>
      </c>
      <c r="G785" t="n">
        <v>2.6</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46035</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36857-2025</t>
        </is>
      </c>
      <c r="B787" s="1" t="n">
        <v>45874.40488425926</v>
      </c>
      <c r="C787" s="1" t="n">
        <v>46035</v>
      </c>
      <c r="D787" t="inlineStr">
        <is>
          <t>VÄRMLANDS LÄN</t>
        </is>
      </c>
      <c r="E787" t="inlineStr">
        <is>
          <t>ÅRJÄNG</t>
        </is>
      </c>
      <c r="G787" t="n">
        <v>5.2</v>
      </c>
      <c r="H787" t="n">
        <v>0</v>
      </c>
      <c r="I787" t="n">
        <v>0</v>
      </c>
      <c r="J787" t="n">
        <v>0</v>
      </c>
      <c r="K787" t="n">
        <v>0</v>
      </c>
      <c r="L787" t="n">
        <v>0</v>
      </c>
      <c r="M787" t="n">
        <v>0</v>
      </c>
      <c r="N787" t="n">
        <v>0</v>
      </c>
      <c r="O787" t="n">
        <v>0</v>
      </c>
      <c r="P787" t="n">
        <v>0</v>
      </c>
      <c r="Q787" t="n">
        <v>0</v>
      </c>
      <c r="R787" s="2" t="inlineStr"/>
    </row>
    <row r="788" ht="15" customHeight="1">
      <c r="A788" t="inlineStr">
        <is>
          <t>A 36751-2025</t>
        </is>
      </c>
      <c r="B788" s="1" t="n">
        <v>45873</v>
      </c>
      <c r="C788" s="1" t="n">
        <v>46035</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36827-2025</t>
        </is>
      </c>
      <c r="B789" s="1" t="n">
        <v>45874</v>
      </c>
      <c r="C789" s="1" t="n">
        <v>46035</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36839-2025</t>
        </is>
      </c>
      <c r="B790" s="1" t="n">
        <v>45874</v>
      </c>
      <c r="C790" s="1" t="n">
        <v>46035</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36780-2025</t>
        </is>
      </c>
      <c r="B791" s="1" t="n">
        <v>45873</v>
      </c>
      <c r="C791" s="1" t="n">
        <v>46035</v>
      </c>
      <c r="D791" t="inlineStr">
        <is>
          <t>VÄRMLANDS LÄN</t>
        </is>
      </c>
      <c r="E791" t="inlineStr">
        <is>
          <t>ÅRJÄNG</t>
        </is>
      </c>
      <c r="G791" t="n">
        <v>0.7</v>
      </c>
      <c r="H791" t="n">
        <v>0</v>
      </c>
      <c r="I791" t="n">
        <v>0</v>
      </c>
      <c r="J791" t="n">
        <v>0</v>
      </c>
      <c r="K791" t="n">
        <v>0</v>
      </c>
      <c r="L791" t="n">
        <v>0</v>
      </c>
      <c r="M791" t="n">
        <v>0</v>
      </c>
      <c r="N791" t="n">
        <v>0</v>
      </c>
      <c r="O791" t="n">
        <v>0</v>
      </c>
      <c r="P791" t="n">
        <v>0</v>
      </c>
      <c r="Q791" t="n">
        <v>0</v>
      </c>
      <c r="R791" s="2" t="inlineStr"/>
    </row>
    <row r="792" ht="15" customHeight="1">
      <c r="A792" t="inlineStr">
        <is>
          <t>A 36831-2025</t>
        </is>
      </c>
      <c r="B792" s="1" t="n">
        <v>45874</v>
      </c>
      <c r="C792" s="1" t="n">
        <v>46035</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36865-2025</t>
        </is>
      </c>
      <c r="B793" s="1" t="n">
        <v>45874.41655092593</v>
      </c>
      <c r="C793" s="1" t="n">
        <v>46035</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30699-2021</t>
        </is>
      </c>
      <c r="B794" s="1" t="n">
        <v>44365.42443287037</v>
      </c>
      <c r="C794" s="1" t="n">
        <v>46035</v>
      </c>
      <c r="D794" t="inlineStr">
        <is>
          <t>VÄRMLANDS LÄN</t>
        </is>
      </c>
      <c r="E794" t="inlineStr">
        <is>
          <t>ÅRJÄNG</t>
        </is>
      </c>
      <c r="G794" t="n">
        <v>3.1</v>
      </c>
      <c r="H794" t="n">
        <v>0</v>
      </c>
      <c r="I794" t="n">
        <v>0</v>
      </c>
      <c r="J794" t="n">
        <v>0</v>
      </c>
      <c r="K794" t="n">
        <v>0</v>
      </c>
      <c r="L794" t="n">
        <v>0</v>
      </c>
      <c r="M794" t="n">
        <v>0</v>
      </c>
      <c r="N794" t="n">
        <v>0</v>
      </c>
      <c r="O794" t="n">
        <v>0</v>
      </c>
      <c r="P794" t="n">
        <v>0</v>
      </c>
      <c r="Q794" t="n">
        <v>0</v>
      </c>
      <c r="R794" s="2" t="inlineStr"/>
    </row>
    <row r="795" ht="15" customHeight="1">
      <c r="A795" t="inlineStr">
        <is>
          <t>A 35157-2021</t>
        </is>
      </c>
      <c r="B795" s="1" t="n">
        <v>44383</v>
      </c>
      <c r="C795" s="1" t="n">
        <v>46035</v>
      </c>
      <c r="D795" t="inlineStr">
        <is>
          <t>VÄRMLANDS LÄN</t>
        </is>
      </c>
      <c r="E795" t="inlineStr">
        <is>
          <t>ÅRJÄNG</t>
        </is>
      </c>
      <c r="G795" t="n">
        <v>1.1</v>
      </c>
      <c r="H795" t="n">
        <v>0</v>
      </c>
      <c r="I795" t="n">
        <v>0</v>
      </c>
      <c r="J795" t="n">
        <v>0</v>
      </c>
      <c r="K795" t="n">
        <v>0</v>
      </c>
      <c r="L795" t="n">
        <v>0</v>
      </c>
      <c r="M795" t="n">
        <v>0</v>
      </c>
      <c r="N795" t="n">
        <v>0</v>
      </c>
      <c r="O795" t="n">
        <v>0</v>
      </c>
      <c r="P795" t="n">
        <v>0</v>
      </c>
      <c r="Q795" t="n">
        <v>0</v>
      </c>
      <c r="R795" s="2" t="inlineStr"/>
    </row>
    <row r="796" ht="15" customHeight="1">
      <c r="A796" t="inlineStr">
        <is>
          <t>A 21706-2024</t>
        </is>
      </c>
      <c r="B796" s="1" t="n">
        <v>45442</v>
      </c>
      <c r="C796" s="1" t="n">
        <v>46035</v>
      </c>
      <c r="D796" t="inlineStr">
        <is>
          <t>VÄRMLANDS LÄN</t>
        </is>
      </c>
      <c r="E796" t="inlineStr">
        <is>
          <t>ÅRJÄNG</t>
        </is>
      </c>
      <c r="G796" t="n">
        <v>10.4</v>
      </c>
      <c r="H796" t="n">
        <v>0</v>
      </c>
      <c r="I796" t="n">
        <v>0</v>
      </c>
      <c r="J796" t="n">
        <v>0</v>
      </c>
      <c r="K796" t="n">
        <v>0</v>
      </c>
      <c r="L796" t="n">
        <v>0</v>
      </c>
      <c r="M796" t="n">
        <v>0</v>
      </c>
      <c r="N796" t="n">
        <v>0</v>
      </c>
      <c r="O796" t="n">
        <v>0</v>
      </c>
      <c r="P796" t="n">
        <v>0</v>
      </c>
      <c r="Q796" t="n">
        <v>0</v>
      </c>
      <c r="R796" s="2" t="inlineStr"/>
    </row>
    <row r="797" ht="15" customHeight="1">
      <c r="A797" t="inlineStr">
        <is>
          <t>A 43040-2023</t>
        </is>
      </c>
      <c r="B797" s="1" t="n">
        <v>45182.68716435185</v>
      </c>
      <c r="C797" s="1" t="n">
        <v>46035</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8232-2025</t>
        </is>
      </c>
      <c r="B798" s="1" t="n">
        <v>45708.47144675926</v>
      </c>
      <c r="C798" s="1" t="n">
        <v>46035</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37247-2025</t>
        </is>
      </c>
      <c r="B799" s="1" t="n">
        <v>45876.40268518519</v>
      </c>
      <c r="C799" s="1" t="n">
        <v>46035</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37071-2025</t>
        </is>
      </c>
      <c r="B800" s="1" t="n">
        <v>45875.40101851852</v>
      </c>
      <c r="C800" s="1" t="n">
        <v>46035</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10510-2023</t>
        </is>
      </c>
      <c r="B801" s="1" t="n">
        <v>44987.73665509259</v>
      </c>
      <c r="C801" s="1" t="n">
        <v>46035</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3458-2025</t>
        </is>
      </c>
      <c r="B802" s="1" t="n">
        <v>45680.48917824074</v>
      </c>
      <c r="C802" s="1" t="n">
        <v>46035</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3479-2025</t>
        </is>
      </c>
      <c r="B803" s="1" t="n">
        <v>45680.53805555555</v>
      </c>
      <c r="C803" s="1" t="n">
        <v>46035</v>
      </c>
      <c r="D803" t="inlineStr">
        <is>
          <t>VÄRMLANDS LÄN</t>
        </is>
      </c>
      <c r="E803" t="inlineStr">
        <is>
          <t>ÅRJÄNG</t>
        </is>
      </c>
      <c r="G803" t="n">
        <v>2.2</v>
      </c>
      <c r="H803" t="n">
        <v>0</v>
      </c>
      <c r="I803" t="n">
        <v>0</v>
      </c>
      <c r="J803" t="n">
        <v>0</v>
      </c>
      <c r="K803" t="n">
        <v>0</v>
      </c>
      <c r="L803" t="n">
        <v>0</v>
      </c>
      <c r="M803" t="n">
        <v>0</v>
      </c>
      <c r="N803" t="n">
        <v>0</v>
      </c>
      <c r="O803" t="n">
        <v>0</v>
      </c>
      <c r="P803" t="n">
        <v>0</v>
      </c>
      <c r="Q803" t="n">
        <v>0</v>
      </c>
      <c r="R803" s="2" t="inlineStr"/>
    </row>
    <row r="804" ht="15" customHeight="1">
      <c r="A804" t="inlineStr">
        <is>
          <t>A 37419-2025</t>
        </is>
      </c>
      <c r="B804" s="1" t="n">
        <v>45877</v>
      </c>
      <c r="C804" s="1" t="n">
        <v>46035</v>
      </c>
      <c r="D804" t="inlineStr">
        <is>
          <t>VÄRMLANDS LÄN</t>
        </is>
      </c>
      <c r="E804" t="inlineStr">
        <is>
          <t>ÅRJÄNG</t>
        </is>
      </c>
      <c r="G804" t="n">
        <v>4.9</v>
      </c>
      <c r="H804" t="n">
        <v>0</v>
      </c>
      <c r="I804" t="n">
        <v>0</v>
      </c>
      <c r="J804" t="n">
        <v>0</v>
      </c>
      <c r="K804" t="n">
        <v>0</v>
      </c>
      <c r="L804" t="n">
        <v>0</v>
      </c>
      <c r="M804" t="n">
        <v>0</v>
      </c>
      <c r="N804" t="n">
        <v>0</v>
      </c>
      <c r="O804" t="n">
        <v>0</v>
      </c>
      <c r="P804" t="n">
        <v>0</v>
      </c>
      <c r="Q804" t="n">
        <v>0</v>
      </c>
      <c r="R804" s="2" t="inlineStr"/>
    </row>
    <row r="805" ht="15" customHeight="1">
      <c r="A805" t="inlineStr">
        <is>
          <t>A 10574-2023</t>
        </is>
      </c>
      <c r="B805" s="1" t="n">
        <v>44984</v>
      </c>
      <c r="C805" s="1" t="n">
        <v>46035</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53024-2025</t>
        </is>
      </c>
      <c r="B806" s="1" t="n">
        <v>45958.32211805556</v>
      </c>
      <c r="C806" s="1" t="n">
        <v>46035</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62901-2021</t>
        </is>
      </c>
      <c r="B807" s="1" t="n">
        <v>44504</v>
      </c>
      <c r="C807" s="1" t="n">
        <v>46035</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37484-2025</t>
        </is>
      </c>
      <c r="B808" s="1" t="n">
        <v>45877</v>
      </c>
      <c r="C808" s="1" t="n">
        <v>46035</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15730-2023</t>
        </is>
      </c>
      <c r="B809" s="1" t="n">
        <v>45021</v>
      </c>
      <c r="C809" s="1" t="n">
        <v>46035</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37507-2025</t>
        </is>
      </c>
      <c r="B810" s="1" t="n">
        <v>45877</v>
      </c>
      <c r="C810" s="1" t="n">
        <v>46035</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61050-2025</t>
        </is>
      </c>
      <c r="B811" s="1" t="n">
        <v>46000.32225694445</v>
      </c>
      <c r="C811" s="1" t="n">
        <v>46035</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37402-2025</t>
        </is>
      </c>
      <c r="B812" s="1" t="n">
        <v>45877</v>
      </c>
      <c r="C812" s="1" t="n">
        <v>46035</v>
      </c>
      <c r="D812" t="inlineStr">
        <is>
          <t>VÄRMLANDS LÄN</t>
        </is>
      </c>
      <c r="E812" t="inlineStr">
        <is>
          <t>ÅRJÄNG</t>
        </is>
      </c>
      <c r="G812" t="n">
        <v>2.5</v>
      </c>
      <c r="H812" t="n">
        <v>0</v>
      </c>
      <c r="I812" t="n">
        <v>0</v>
      </c>
      <c r="J812" t="n">
        <v>0</v>
      </c>
      <c r="K812" t="n">
        <v>0</v>
      </c>
      <c r="L812" t="n">
        <v>0</v>
      </c>
      <c r="M812" t="n">
        <v>0</v>
      </c>
      <c r="N812" t="n">
        <v>0</v>
      </c>
      <c r="O812" t="n">
        <v>0</v>
      </c>
      <c r="P812" t="n">
        <v>0</v>
      </c>
      <c r="Q812" t="n">
        <v>0</v>
      </c>
      <c r="R812" s="2" t="inlineStr"/>
    </row>
    <row r="813" ht="15" customHeight="1">
      <c r="A813" t="inlineStr">
        <is>
          <t>A 33831-2023</t>
        </is>
      </c>
      <c r="B813" s="1" t="n">
        <v>45121</v>
      </c>
      <c r="C813" s="1" t="n">
        <v>46035</v>
      </c>
      <c r="D813" t="inlineStr">
        <is>
          <t>VÄRMLANDS LÄN</t>
        </is>
      </c>
      <c r="E813" t="inlineStr">
        <is>
          <t>ÅRJÄNG</t>
        </is>
      </c>
      <c r="G813" t="n">
        <v>2.3</v>
      </c>
      <c r="H813" t="n">
        <v>0</v>
      </c>
      <c r="I813" t="n">
        <v>0</v>
      </c>
      <c r="J813" t="n">
        <v>0</v>
      </c>
      <c r="K813" t="n">
        <v>0</v>
      </c>
      <c r="L813" t="n">
        <v>0</v>
      </c>
      <c r="M813" t="n">
        <v>0</v>
      </c>
      <c r="N813" t="n">
        <v>0</v>
      </c>
      <c r="O813" t="n">
        <v>0</v>
      </c>
      <c r="P813" t="n">
        <v>0</v>
      </c>
      <c r="Q813" t="n">
        <v>0</v>
      </c>
      <c r="R813" s="2" t="inlineStr"/>
    </row>
    <row r="814" ht="15" customHeight="1">
      <c r="A814" t="inlineStr">
        <is>
          <t>A 60826-2025</t>
        </is>
      </c>
      <c r="B814" s="1" t="n">
        <v>45999.46019675926</v>
      </c>
      <c r="C814" s="1" t="n">
        <v>46035</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61097-2025</t>
        </is>
      </c>
      <c r="B815" s="1" t="n">
        <v>46000.43695601852</v>
      </c>
      <c r="C815" s="1" t="n">
        <v>46035</v>
      </c>
      <c r="D815" t="inlineStr">
        <is>
          <t>VÄRMLANDS LÄN</t>
        </is>
      </c>
      <c r="E815" t="inlineStr">
        <is>
          <t>ÅRJÄNG</t>
        </is>
      </c>
      <c r="G815" t="n">
        <v>2</v>
      </c>
      <c r="H815" t="n">
        <v>0</v>
      </c>
      <c r="I815" t="n">
        <v>0</v>
      </c>
      <c r="J815" t="n">
        <v>0</v>
      </c>
      <c r="K815" t="n">
        <v>0</v>
      </c>
      <c r="L815" t="n">
        <v>0</v>
      </c>
      <c r="M815" t="n">
        <v>0</v>
      </c>
      <c r="N815" t="n">
        <v>0</v>
      </c>
      <c r="O815" t="n">
        <v>0</v>
      </c>
      <c r="P815" t="n">
        <v>0</v>
      </c>
      <c r="Q815" t="n">
        <v>0</v>
      </c>
      <c r="R815" s="2" t="inlineStr"/>
    </row>
    <row r="816" ht="15" customHeight="1">
      <c r="A816" t="inlineStr">
        <is>
          <t>A 37416-2025</t>
        </is>
      </c>
      <c r="B816" s="1" t="n">
        <v>45877</v>
      </c>
      <c r="C816" s="1" t="n">
        <v>46035</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59070-2024</t>
        </is>
      </c>
      <c r="B817" s="1" t="n">
        <v>45636.95711805556</v>
      </c>
      <c r="C817" s="1" t="n">
        <v>46035</v>
      </c>
      <c r="D817" t="inlineStr">
        <is>
          <t>VÄRMLANDS LÄN</t>
        </is>
      </c>
      <c r="E817" t="inlineStr">
        <is>
          <t>ÅRJÄNG</t>
        </is>
      </c>
      <c r="G817" t="n">
        <v>1.1</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46035</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29603-2024</t>
        </is>
      </c>
      <c r="B819" s="1" t="n">
        <v>45484</v>
      </c>
      <c r="C819" s="1" t="n">
        <v>46035</v>
      </c>
      <c r="D819" t="inlineStr">
        <is>
          <t>VÄRMLANDS LÄN</t>
        </is>
      </c>
      <c r="E819" t="inlineStr">
        <is>
          <t>ÅRJÄNG</t>
        </is>
      </c>
      <c r="G819" t="n">
        <v>7.5</v>
      </c>
      <c r="H819" t="n">
        <v>0</v>
      </c>
      <c r="I819" t="n">
        <v>0</v>
      </c>
      <c r="J819" t="n">
        <v>0</v>
      </c>
      <c r="K819" t="n">
        <v>0</v>
      </c>
      <c r="L819" t="n">
        <v>0</v>
      </c>
      <c r="M819" t="n">
        <v>0</v>
      </c>
      <c r="N819" t="n">
        <v>0</v>
      </c>
      <c r="O819" t="n">
        <v>0</v>
      </c>
      <c r="P819" t="n">
        <v>0</v>
      </c>
      <c r="Q819" t="n">
        <v>0</v>
      </c>
      <c r="R819" s="2" t="inlineStr"/>
    </row>
    <row r="820" ht="15" customHeight="1">
      <c r="A820" t="inlineStr">
        <is>
          <t>A 37662-2025</t>
        </is>
      </c>
      <c r="B820" s="1" t="n">
        <v>45880</v>
      </c>
      <c r="C820" s="1" t="n">
        <v>46035</v>
      </c>
      <c r="D820" t="inlineStr">
        <is>
          <t>VÄRMLANDS LÄN</t>
        </is>
      </c>
      <c r="E820" t="inlineStr">
        <is>
          <t>ÅRJÄNG</t>
        </is>
      </c>
      <c r="G820" t="n">
        <v>1.8</v>
      </c>
      <c r="H820" t="n">
        <v>0</v>
      </c>
      <c r="I820" t="n">
        <v>0</v>
      </c>
      <c r="J820" t="n">
        <v>0</v>
      </c>
      <c r="K820" t="n">
        <v>0</v>
      </c>
      <c r="L820" t="n">
        <v>0</v>
      </c>
      <c r="M820" t="n">
        <v>0</v>
      </c>
      <c r="N820" t="n">
        <v>0</v>
      </c>
      <c r="O820" t="n">
        <v>0</v>
      </c>
      <c r="P820" t="n">
        <v>0</v>
      </c>
      <c r="Q820" t="n">
        <v>0</v>
      </c>
      <c r="R820" s="2" t="inlineStr"/>
    </row>
    <row r="821" ht="15" customHeight="1">
      <c r="A821" t="inlineStr">
        <is>
          <t>A 37418-2025</t>
        </is>
      </c>
      <c r="B821" s="1" t="n">
        <v>45877</v>
      </c>
      <c r="C821" s="1" t="n">
        <v>46035</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37420-2025</t>
        </is>
      </c>
      <c r="B822" s="1" t="n">
        <v>45877</v>
      </c>
      <c r="C822" s="1" t="n">
        <v>46035</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37680-2025</t>
        </is>
      </c>
      <c r="B823" s="1" t="n">
        <v>45880.54208333333</v>
      </c>
      <c r="C823" s="1" t="n">
        <v>46035</v>
      </c>
      <c r="D823" t="inlineStr">
        <is>
          <t>VÄRMLANDS LÄN</t>
        </is>
      </c>
      <c r="E823" t="inlineStr">
        <is>
          <t>ÅRJÄNG</t>
        </is>
      </c>
      <c r="G823" t="n">
        <v>2</v>
      </c>
      <c r="H823" t="n">
        <v>0</v>
      </c>
      <c r="I823" t="n">
        <v>0</v>
      </c>
      <c r="J823" t="n">
        <v>0</v>
      </c>
      <c r="K823" t="n">
        <v>0</v>
      </c>
      <c r="L823" t="n">
        <v>0</v>
      </c>
      <c r="M823" t="n">
        <v>0</v>
      </c>
      <c r="N823" t="n">
        <v>0</v>
      </c>
      <c r="O823" t="n">
        <v>0</v>
      </c>
      <c r="P823" t="n">
        <v>0</v>
      </c>
      <c r="Q823" t="n">
        <v>0</v>
      </c>
      <c r="R823" s="2" t="inlineStr"/>
    </row>
    <row r="824" ht="15" customHeight="1">
      <c r="A824" t="inlineStr">
        <is>
          <t>A 15546-2025</t>
        </is>
      </c>
      <c r="B824" s="1" t="n">
        <v>45747</v>
      </c>
      <c r="C824" s="1" t="n">
        <v>46035</v>
      </c>
      <c r="D824" t="inlineStr">
        <is>
          <t>VÄRMLANDS LÄN</t>
        </is>
      </c>
      <c r="E824" t="inlineStr">
        <is>
          <t>ÅRJÄNG</t>
        </is>
      </c>
      <c r="G824" t="n">
        <v>2.2</v>
      </c>
      <c r="H824" t="n">
        <v>0</v>
      </c>
      <c r="I824" t="n">
        <v>0</v>
      </c>
      <c r="J824" t="n">
        <v>0</v>
      </c>
      <c r="K824" t="n">
        <v>0</v>
      </c>
      <c r="L824" t="n">
        <v>0</v>
      </c>
      <c r="M824" t="n">
        <v>0</v>
      </c>
      <c r="N824" t="n">
        <v>0</v>
      </c>
      <c r="O824" t="n">
        <v>0</v>
      </c>
      <c r="P824" t="n">
        <v>0</v>
      </c>
      <c r="Q824" t="n">
        <v>0</v>
      </c>
      <c r="R824" s="2" t="inlineStr"/>
    </row>
    <row r="825" ht="15" customHeight="1">
      <c r="A825" t="inlineStr">
        <is>
          <t>A 37681-2025</t>
        </is>
      </c>
      <c r="B825" s="1" t="n">
        <v>45880</v>
      </c>
      <c r="C825" s="1" t="n">
        <v>46035</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37555-2025</t>
        </is>
      </c>
      <c r="B826" s="1" t="n">
        <v>45880</v>
      </c>
      <c r="C826" s="1" t="n">
        <v>46035</v>
      </c>
      <c r="D826" t="inlineStr">
        <is>
          <t>VÄRMLANDS LÄN</t>
        </is>
      </c>
      <c r="E826" t="inlineStr">
        <is>
          <t>ÅRJÄNG</t>
        </is>
      </c>
      <c r="G826" t="n">
        <v>0.8</v>
      </c>
      <c r="H826" t="n">
        <v>0</v>
      </c>
      <c r="I826" t="n">
        <v>0</v>
      </c>
      <c r="J826" t="n">
        <v>0</v>
      </c>
      <c r="K826" t="n">
        <v>0</v>
      </c>
      <c r="L826" t="n">
        <v>0</v>
      </c>
      <c r="M826" t="n">
        <v>0</v>
      </c>
      <c r="N826" t="n">
        <v>0</v>
      </c>
      <c r="O826" t="n">
        <v>0</v>
      </c>
      <c r="P826" t="n">
        <v>0</v>
      </c>
      <c r="Q826" t="n">
        <v>0</v>
      </c>
      <c r="R826" s="2" t="inlineStr"/>
    </row>
    <row r="827" ht="15" customHeight="1">
      <c r="A827" t="inlineStr">
        <is>
          <t>A 7660-2025</t>
        </is>
      </c>
      <c r="B827" s="1" t="n">
        <v>45706.32505787037</v>
      </c>
      <c r="C827" s="1" t="n">
        <v>46035</v>
      </c>
      <c r="D827" t="inlineStr">
        <is>
          <t>VÄRMLANDS LÄN</t>
        </is>
      </c>
      <c r="E827" t="inlineStr">
        <is>
          <t>ÅRJÄNG</t>
        </is>
      </c>
      <c r="G827" t="n">
        <v>2</v>
      </c>
      <c r="H827" t="n">
        <v>0</v>
      </c>
      <c r="I827" t="n">
        <v>0</v>
      </c>
      <c r="J827" t="n">
        <v>0</v>
      </c>
      <c r="K827" t="n">
        <v>0</v>
      </c>
      <c r="L827" t="n">
        <v>0</v>
      </c>
      <c r="M827" t="n">
        <v>0</v>
      </c>
      <c r="N827" t="n">
        <v>0</v>
      </c>
      <c r="O827" t="n">
        <v>0</v>
      </c>
      <c r="P827" t="n">
        <v>0</v>
      </c>
      <c r="Q827" t="n">
        <v>0</v>
      </c>
      <c r="R827" s="2" t="inlineStr"/>
    </row>
    <row r="828" ht="15" customHeight="1">
      <c r="A828" t="inlineStr">
        <is>
          <t>A 28314-2025</t>
        </is>
      </c>
      <c r="B828" s="1" t="n">
        <v>45818.62592592592</v>
      </c>
      <c r="C828" s="1" t="n">
        <v>46035</v>
      </c>
      <c r="D828" t="inlineStr">
        <is>
          <t>VÄRMLANDS LÄN</t>
        </is>
      </c>
      <c r="E828" t="inlineStr">
        <is>
          <t>ÅRJÄNG</t>
        </is>
      </c>
      <c r="G828" t="n">
        <v>2.5</v>
      </c>
      <c r="H828" t="n">
        <v>0</v>
      </c>
      <c r="I828" t="n">
        <v>0</v>
      </c>
      <c r="J828" t="n">
        <v>0</v>
      </c>
      <c r="K828" t="n">
        <v>0</v>
      </c>
      <c r="L828" t="n">
        <v>0</v>
      </c>
      <c r="M828" t="n">
        <v>0</v>
      </c>
      <c r="N828" t="n">
        <v>0</v>
      </c>
      <c r="O828" t="n">
        <v>0</v>
      </c>
      <c r="P828" t="n">
        <v>0</v>
      </c>
      <c r="Q828" t="n">
        <v>0</v>
      </c>
      <c r="R828" s="2" t="inlineStr"/>
    </row>
    <row r="829" ht="15" customHeight="1">
      <c r="A829" t="inlineStr">
        <is>
          <t>A 37655-2025</t>
        </is>
      </c>
      <c r="B829" s="1" t="n">
        <v>45880</v>
      </c>
      <c r="C829" s="1" t="n">
        <v>46035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37510-2025</t>
        </is>
      </c>
      <c r="B830" s="1" t="n">
        <v>45877</v>
      </c>
      <c r="C830" s="1" t="n">
        <v>46035</v>
      </c>
      <c r="D830" t="inlineStr">
        <is>
          <t>VÄRMLANDS LÄN</t>
        </is>
      </c>
      <c r="E830" t="inlineStr">
        <is>
          <t>ÅRJÄNG</t>
        </is>
      </c>
      <c r="G830" t="n">
        <v>10.4</v>
      </c>
      <c r="H830" t="n">
        <v>0</v>
      </c>
      <c r="I830" t="n">
        <v>0</v>
      </c>
      <c r="J830" t="n">
        <v>0</v>
      </c>
      <c r="K830" t="n">
        <v>0</v>
      </c>
      <c r="L830" t="n">
        <v>0</v>
      </c>
      <c r="M830" t="n">
        <v>0</v>
      </c>
      <c r="N830" t="n">
        <v>0</v>
      </c>
      <c r="O830" t="n">
        <v>0</v>
      </c>
      <c r="P830" t="n">
        <v>0</v>
      </c>
      <c r="Q830" t="n">
        <v>0</v>
      </c>
      <c r="R830" s="2" t="inlineStr"/>
    </row>
    <row r="831" ht="15" customHeight="1">
      <c r="A831" t="inlineStr">
        <is>
          <t>A 52278-2023</t>
        </is>
      </c>
      <c r="B831" s="1" t="n">
        <v>45224.57358796296</v>
      </c>
      <c r="C831" s="1" t="n">
        <v>46035</v>
      </c>
      <c r="D831" t="inlineStr">
        <is>
          <t>VÄRMLANDS LÄN</t>
        </is>
      </c>
      <c r="E831" t="inlineStr">
        <is>
          <t>ÅRJÄNG</t>
        </is>
      </c>
      <c r="G831" t="n">
        <v>3.1</v>
      </c>
      <c r="H831" t="n">
        <v>0</v>
      </c>
      <c r="I831" t="n">
        <v>0</v>
      </c>
      <c r="J831" t="n">
        <v>0</v>
      </c>
      <c r="K831" t="n">
        <v>0</v>
      </c>
      <c r="L831" t="n">
        <v>0</v>
      </c>
      <c r="M831" t="n">
        <v>0</v>
      </c>
      <c r="N831" t="n">
        <v>0</v>
      </c>
      <c r="O831" t="n">
        <v>0</v>
      </c>
      <c r="P831" t="n">
        <v>0</v>
      </c>
      <c r="Q831" t="n">
        <v>0</v>
      </c>
      <c r="R831" s="2" t="inlineStr"/>
    </row>
    <row r="832" ht="15" customHeight="1">
      <c r="A832" t="inlineStr">
        <is>
          <t>A 48130-2023</t>
        </is>
      </c>
      <c r="B832" s="1" t="n">
        <v>45201</v>
      </c>
      <c r="C832" s="1" t="n">
        <v>46035</v>
      </c>
      <c r="D832" t="inlineStr">
        <is>
          <t>VÄRMLANDS LÄN</t>
        </is>
      </c>
      <c r="E832" t="inlineStr">
        <is>
          <t>ÅRJÄNG</t>
        </is>
      </c>
      <c r="G832" t="n">
        <v>3</v>
      </c>
      <c r="H832" t="n">
        <v>0</v>
      </c>
      <c r="I832" t="n">
        <v>0</v>
      </c>
      <c r="J832" t="n">
        <v>0</v>
      </c>
      <c r="K832" t="n">
        <v>0</v>
      </c>
      <c r="L832" t="n">
        <v>0</v>
      </c>
      <c r="M832" t="n">
        <v>0</v>
      </c>
      <c r="N832" t="n">
        <v>0</v>
      </c>
      <c r="O832" t="n">
        <v>0</v>
      </c>
      <c r="P832" t="n">
        <v>0</v>
      </c>
      <c r="Q832" t="n">
        <v>0</v>
      </c>
      <c r="R832" s="2" t="inlineStr"/>
    </row>
    <row r="833" ht="15" customHeight="1">
      <c r="A833" t="inlineStr">
        <is>
          <t>A 8918-2025</t>
        </is>
      </c>
      <c r="B833" s="1" t="n">
        <v>45713.43067129629</v>
      </c>
      <c r="C833" s="1" t="n">
        <v>46035</v>
      </c>
      <c r="D833" t="inlineStr">
        <is>
          <t>VÄRMLANDS LÄN</t>
        </is>
      </c>
      <c r="E833" t="inlineStr">
        <is>
          <t>ÅRJÄNG</t>
        </is>
      </c>
      <c r="G833" t="n">
        <v>1.7</v>
      </c>
      <c r="H833" t="n">
        <v>0</v>
      </c>
      <c r="I833" t="n">
        <v>0</v>
      </c>
      <c r="J833" t="n">
        <v>0</v>
      </c>
      <c r="K833" t="n">
        <v>0</v>
      </c>
      <c r="L833" t="n">
        <v>0</v>
      </c>
      <c r="M833" t="n">
        <v>0</v>
      </c>
      <c r="N833" t="n">
        <v>0</v>
      </c>
      <c r="O833" t="n">
        <v>0</v>
      </c>
      <c r="P833" t="n">
        <v>0</v>
      </c>
      <c r="Q833" t="n">
        <v>0</v>
      </c>
      <c r="R833" s="2" t="inlineStr"/>
    </row>
    <row r="834" ht="15" customHeight="1">
      <c r="A834" t="inlineStr">
        <is>
          <t>A 61006-2025</t>
        </is>
      </c>
      <c r="B834" s="1" t="n">
        <v>45997</v>
      </c>
      <c r="C834" s="1" t="n">
        <v>46035</v>
      </c>
      <c r="D834" t="inlineStr">
        <is>
          <t>VÄRMLANDS LÄN</t>
        </is>
      </c>
      <c r="E834" t="inlineStr">
        <is>
          <t>ÅRJÄNG</t>
        </is>
      </c>
      <c r="F834" t="inlineStr">
        <is>
          <t>Övriga Aktiebolag</t>
        </is>
      </c>
      <c r="G834" t="n">
        <v>3.7</v>
      </c>
      <c r="H834" t="n">
        <v>0</v>
      </c>
      <c r="I834" t="n">
        <v>0</v>
      </c>
      <c r="J834" t="n">
        <v>0</v>
      </c>
      <c r="K834" t="n">
        <v>0</v>
      </c>
      <c r="L834" t="n">
        <v>0</v>
      </c>
      <c r="M834" t="n">
        <v>0</v>
      </c>
      <c r="N834" t="n">
        <v>0</v>
      </c>
      <c r="O834" t="n">
        <v>0</v>
      </c>
      <c r="P834" t="n">
        <v>0</v>
      </c>
      <c r="Q834" t="n">
        <v>0</v>
      </c>
      <c r="R834" s="2" t="inlineStr"/>
    </row>
    <row r="835" ht="15" customHeight="1">
      <c r="A835" t="inlineStr">
        <is>
          <t>A 53160-2025</t>
        </is>
      </c>
      <c r="B835" s="1" t="n">
        <v>45958.49123842592</v>
      </c>
      <c r="C835" s="1" t="n">
        <v>46035</v>
      </c>
      <c r="D835" t="inlineStr">
        <is>
          <t>VÄRMLANDS LÄN</t>
        </is>
      </c>
      <c r="E835" t="inlineStr">
        <is>
          <t>ÅRJÄNG</t>
        </is>
      </c>
      <c r="G835" t="n">
        <v>1.9</v>
      </c>
      <c r="H835" t="n">
        <v>0</v>
      </c>
      <c r="I835" t="n">
        <v>0</v>
      </c>
      <c r="J835" t="n">
        <v>0</v>
      </c>
      <c r="K835" t="n">
        <v>0</v>
      </c>
      <c r="L835" t="n">
        <v>0</v>
      </c>
      <c r="M835" t="n">
        <v>0</v>
      </c>
      <c r="N835" t="n">
        <v>0</v>
      </c>
      <c r="O835" t="n">
        <v>0</v>
      </c>
      <c r="P835" t="n">
        <v>0</v>
      </c>
      <c r="Q835" t="n">
        <v>0</v>
      </c>
      <c r="R835" s="2" t="inlineStr"/>
    </row>
    <row r="836" ht="15" customHeight="1">
      <c r="A836" t="inlineStr">
        <is>
          <t>A 36641-2021</t>
        </is>
      </c>
      <c r="B836" s="1" t="n">
        <v>44392.31038194444</v>
      </c>
      <c r="C836" s="1" t="n">
        <v>46035</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27001-2021</t>
        </is>
      </c>
      <c r="B837" s="1" t="n">
        <v>44350.35271990741</v>
      </c>
      <c r="C837" s="1" t="n">
        <v>46035</v>
      </c>
      <c r="D837" t="inlineStr">
        <is>
          <t>VÄRMLANDS LÄN</t>
        </is>
      </c>
      <c r="E837" t="inlineStr">
        <is>
          <t>ÅRJÄNG</t>
        </is>
      </c>
      <c r="G837" t="n">
        <v>3.7</v>
      </c>
      <c r="H837" t="n">
        <v>0</v>
      </c>
      <c r="I837" t="n">
        <v>0</v>
      </c>
      <c r="J837" t="n">
        <v>0</v>
      </c>
      <c r="K837" t="n">
        <v>0</v>
      </c>
      <c r="L837" t="n">
        <v>0</v>
      </c>
      <c r="M837" t="n">
        <v>0</v>
      </c>
      <c r="N837" t="n">
        <v>0</v>
      </c>
      <c r="O837" t="n">
        <v>0</v>
      </c>
      <c r="P837" t="n">
        <v>0</v>
      </c>
      <c r="Q837" t="n">
        <v>0</v>
      </c>
      <c r="R837" s="2" t="inlineStr"/>
    </row>
    <row r="838" ht="15" customHeight="1">
      <c r="A838" t="inlineStr">
        <is>
          <t>A 61053-2025</t>
        </is>
      </c>
      <c r="B838" s="1" t="n">
        <v>46000.32866898148</v>
      </c>
      <c r="C838" s="1" t="n">
        <v>46035</v>
      </c>
      <c r="D838" t="inlineStr">
        <is>
          <t>VÄRMLANDS LÄN</t>
        </is>
      </c>
      <c r="E838" t="inlineStr">
        <is>
          <t>ÅRJÄNG</t>
        </is>
      </c>
      <c r="G838" t="n">
        <v>4.4</v>
      </c>
      <c r="H838" t="n">
        <v>0</v>
      </c>
      <c r="I838" t="n">
        <v>0</v>
      </c>
      <c r="J838" t="n">
        <v>0</v>
      </c>
      <c r="K838" t="n">
        <v>0</v>
      </c>
      <c r="L838" t="n">
        <v>0</v>
      </c>
      <c r="M838" t="n">
        <v>0</v>
      </c>
      <c r="N838" t="n">
        <v>0</v>
      </c>
      <c r="O838" t="n">
        <v>0</v>
      </c>
      <c r="P838" t="n">
        <v>0</v>
      </c>
      <c r="Q838" t="n">
        <v>0</v>
      </c>
      <c r="R838" s="2" t="inlineStr"/>
    </row>
    <row r="839" ht="15" customHeight="1">
      <c r="A839" t="inlineStr">
        <is>
          <t>A 42576-2021</t>
        </is>
      </c>
      <c r="B839" s="1" t="n">
        <v>44428</v>
      </c>
      <c r="C839" s="1" t="n">
        <v>46035</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53073-2025</t>
        </is>
      </c>
      <c r="B840" s="1" t="n">
        <v>45958.38311342592</v>
      </c>
      <c r="C840" s="1" t="n">
        <v>46035</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53158-2025</t>
        </is>
      </c>
      <c r="B841" s="1" t="n">
        <v>45958.49064814814</v>
      </c>
      <c r="C841" s="1" t="n">
        <v>46035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33525-2022</t>
        </is>
      </c>
      <c r="B842" s="1" t="n">
        <v>44789.31077546296</v>
      </c>
      <c r="C842" s="1" t="n">
        <v>46035</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4763-2023</t>
        </is>
      </c>
      <c r="B843" s="1" t="n">
        <v>44957.57651620371</v>
      </c>
      <c r="C843" s="1" t="n">
        <v>46035</v>
      </c>
      <c r="D843" t="inlineStr">
        <is>
          <t>VÄRMLANDS LÄN</t>
        </is>
      </c>
      <c r="E843" t="inlineStr">
        <is>
          <t>ÅRJÄNG</t>
        </is>
      </c>
      <c r="G843" t="n">
        <v>0.8</v>
      </c>
      <c r="H843" t="n">
        <v>0</v>
      </c>
      <c r="I843" t="n">
        <v>0</v>
      </c>
      <c r="J843" t="n">
        <v>0</v>
      </c>
      <c r="K843" t="n">
        <v>0</v>
      </c>
      <c r="L843" t="n">
        <v>0</v>
      </c>
      <c r="M843" t="n">
        <v>0</v>
      </c>
      <c r="N843" t="n">
        <v>0</v>
      </c>
      <c r="O843" t="n">
        <v>0</v>
      </c>
      <c r="P843" t="n">
        <v>0</v>
      </c>
      <c r="Q843" t="n">
        <v>0</v>
      </c>
      <c r="R843" s="2" t="inlineStr"/>
    </row>
    <row r="844" ht="15" customHeight="1">
      <c r="A844" t="inlineStr">
        <is>
          <t>A 61113-2025</t>
        </is>
      </c>
      <c r="B844" s="1" t="n">
        <v>45999</v>
      </c>
      <c r="C844" s="1" t="n">
        <v>46035</v>
      </c>
      <c r="D844" t="inlineStr">
        <is>
          <t>VÄRMLANDS LÄN</t>
        </is>
      </c>
      <c r="E844" t="inlineStr">
        <is>
          <t>ÅRJÄNG</t>
        </is>
      </c>
      <c r="G844" t="n">
        <v>7.6</v>
      </c>
      <c r="H844" t="n">
        <v>0</v>
      </c>
      <c r="I844" t="n">
        <v>0</v>
      </c>
      <c r="J844" t="n">
        <v>0</v>
      </c>
      <c r="K844" t="n">
        <v>0</v>
      </c>
      <c r="L844" t="n">
        <v>0</v>
      </c>
      <c r="M844" t="n">
        <v>0</v>
      </c>
      <c r="N844" t="n">
        <v>0</v>
      </c>
      <c r="O844" t="n">
        <v>0</v>
      </c>
      <c r="P844" t="n">
        <v>0</v>
      </c>
      <c r="Q844" t="n">
        <v>0</v>
      </c>
      <c r="R844" s="2" t="inlineStr"/>
    </row>
    <row r="845" ht="15" customHeight="1">
      <c r="A845" t="inlineStr">
        <is>
          <t>A 61126-2025</t>
        </is>
      </c>
      <c r="B845" s="1" t="n">
        <v>46000.48131944444</v>
      </c>
      <c r="C845" s="1" t="n">
        <v>46035</v>
      </c>
      <c r="D845" t="inlineStr">
        <is>
          <t>VÄRMLANDS LÄN</t>
        </is>
      </c>
      <c r="E845" t="inlineStr">
        <is>
          <t>ÅRJÄNG</t>
        </is>
      </c>
      <c r="G845" t="n">
        <v>2.7</v>
      </c>
      <c r="H845" t="n">
        <v>0</v>
      </c>
      <c r="I845" t="n">
        <v>0</v>
      </c>
      <c r="J845" t="n">
        <v>0</v>
      </c>
      <c r="K845" t="n">
        <v>0</v>
      </c>
      <c r="L845" t="n">
        <v>0</v>
      </c>
      <c r="M845" t="n">
        <v>0</v>
      </c>
      <c r="N845" t="n">
        <v>0</v>
      </c>
      <c r="O845" t="n">
        <v>0</v>
      </c>
      <c r="P845" t="n">
        <v>0</v>
      </c>
      <c r="Q845" t="n">
        <v>0</v>
      </c>
      <c r="R845" s="2" t="inlineStr"/>
    </row>
    <row r="846" ht="15" customHeight="1">
      <c r="A846" t="inlineStr">
        <is>
          <t>A 7877-2025</t>
        </is>
      </c>
      <c r="B846" s="1" t="n">
        <v>45706.76609953704</v>
      </c>
      <c r="C846" s="1" t="n">
        <v>46035</v>
      </c>
      <c r="D846" t="inlineStr">
        <is>
          <t>VÄRMLANDS LÄN</t>
        </is>
      </c>
      <c r="E846" t="inlineStr">
        <is>
          <t>ÅRJÄNG</t>
        </is>
      </c>
      <c r="G846" t="n">
        <v>2.8</v>
      </c>
      <c r="H846" t="n">
        <v>0</v>
      </c>
      <c r="I846" t="n">
        <v>0</v>
      </c>
      <c r="J846" t="n">
        <v>0</v>
      </c>
      <c r="K846" t="n">
        <v>0</v>
      </c>
      <c r="L846" t="n">
        <v>0</v>
      </c>
      <c r="M846" t="n">
        <v>0</v>
      </c>
      <c r="N846" t="n">
        <v>0</v>
      </c>
      <c r="O846" t="n">
        <v>0</v>
      </c>
      <c r="P846" t="n">
        <v>0</v>
      </c>
      <c r="Q846" t="n">
        <v>0</v>
      </c>
      <c r="R846" s="2" t="inlineStr"/>
    </row>
    <row r="847" ht="15" customHeight="1">
      <c r="A847" t="inlineStr">
        <is>
          <t>A 52855-2025</t>
        </is>
      </c>
      <c r="B847" s="1" t="n">
        <v>45957.50030092592</v>
      </c>
      <c r="C847" s="1" t="n">
        <v>46035</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60801-2025</t>
        </is>
      </c>
      <c r="B848" s="1" t="n">
        <v>45999.43131944445</v>
      </c>
      <c r="C848" s="1" t="n">
        <v>46035</v>
      </c>
      <c r="D848" t="inlineStr">
        <is>
          <t>VÄRMLANDS LÄN</t>
        </is>
      </c>
      <c r="E848" t="inlineStr">
        <is>
          <t>ÅRJÄNG</t>
        </is>
      </c>
      <c r="G848" t="n">
        <v>3.8</v>
      </c>
      <c r="H848" t="n">
        <v>0</v>
      </c>
      <c r="I848" t="n">
        <v>0</v>
      </c>
      <c r="J848" t="n">
        <v>0</v>
      </c>
      <c r="K848" t="n">
        <v>0</v>
      </c>
      <c r="L848" t="n">
        <v>0</v>
      </c>
      <c r="M848" t="n">
        <v>0</v>
      </c>
      <c r="N848" t="n">
        <v>0</v>
      </c>
      <c r="O848" t="n">
        <v>0</v>
      </c>
      <c r="P848" t="n">
        <v>0</v>
      </c>
      <c r="Q848" t="n">
        <v>0</v>
      </c>
      <c r="R848" s="2" t="inlineStr"/>
    </row>
    <row r="849" ht="15" customHeight="1">
      <c r="A849" t="inlineStr">
        <is>
          <t>A 11815-2025</t>
        </is>
      </c>
      <c r="B849" s="1" t="n">
        <v>45728.28719907408</v>
      </c>
      <c r="C849" s="1" t="n">
        <v>46035</v>
      </c>
      <c r="D849" t="inlineStr">
        <is>
          <t>VÄRMLANDS LÄN</t>
        </is>
      </c>
      <c r="E849" t="inlineStr">
        <is>
          <t>ÅRJÄNG</t>
        </is>
      </c>
      <c r="G849" t="n">
        <v>2.2</v>
      </c>
      <c r="H849" t="n">
        <v>0</v>
      </c>
      <c r="I849" t="n">
        <v>0</v>
      </c>
      <c r="J849" t="n">
        <v>0</v>
      </c>
      <c r="K849" t="n">
        <v>0</v>
      </c>
      <c r="L849" t="n">
        <v>0</v>
      </c>
      <c r="M849" t="n">
        <v>0</v>
      </c>
      <c r="N849" t="n">
        <v>0</v>
      </c>
      <c r="O849" t="n">
        <v>0</v>
      </c>
      <c r="P849" t="n">
        <v>0</v>
      </c>
      <c r="Q849" t="n">
        <v>0</v>
      </c>
      <c r="R849" s="2" t="inlineStr"/>
    </row>
    <row r="850" ht="15" customHeight="1">
      <c r="A850" t="inlineStr">
        <is>
          <t>A 15165-2025</t>
        </is>
      </c>
      <c r="B850" s="1" t="n">
        <v>45744.48599537037</v>
      </c>
      <c r="C850" s="1" t="n">
        <v>46035</v>
      </c>
      <c r="D850" t="inlineStr">
        <is>
          <t>VÄRMLANDS LÄN</t>
        </is>
      </c>
      <c r="E850" t="inlineStr">
        <is>
          <t>ÅRJÄNG</t>
        </is>
      </c>
      <c r="G850" t="n">
        <v>3</v>
      </c>
      <c r="H850" t="n">
        <v>0</v>
      </c>
      <c r="I850" t="n">
        <v>0</v>
      </c>
      <c r="J850" t="n">
        <v>0</v>
      </c>
      <c r="K850" t="n">
        <v>0</v>
      </c>
      <c r="L850" t="n">
        <v>0</v>
      </c>
      <c r="M850" t="n">
        <v>0</v>
      </c>
      <c r="N850" t="n">
        <v>0</v>
      </c>
      <c r="O850" t="n">
        <v>0</v>
      </c>
      <c r="P850" t="n">
        <v>0</v>
      </c>
      <c r="Q850" t="n">
        <v>0</v>
      </c>
      <c r="R850" s="2" t="inlineStr"/>
    </row>
    <row r="851" ht="15" customHeight="1">
      <c r="A851" t="inlineStr">
        <is>
          <t>A 19242-2025</t>
        </is>
      </c>
      <c r="B851" s="1" t="n">
        <v>45769.47761574074</v>
      </c>
      <c r="C851" s="1" t="n">
        <v>46035</v>
      </c>
      <c r="D851" t="inlineStr">
        <is>
          <t>VÄRMLANDS LÄN</t>
        </is>
      </c>
      <c r="E851" t="inlineStr">
        <is>
          <t>ÅRJÄNG</t>
        </is>
      </c>
      <c r="G851" t="n">
        <v>17.5</v>
      </c>
      <c r="H851" t="n">
        <v>0</v>
      </c>
      <c r="I851" t="n">
        <v>0</v>
      </c>
      <c r="J851" t="n">
        <v>0</v>
      </c>
      <c r="K851" t="n">
        <v>0</v>
      </c>
      <c r="L851" t="n">
        <v>0</v>
      </c>
      <c r="M851" t="n">
        <v>0</v>
      </c>
      <c r="N851" t="n">
        <v>0</v>
      </c>
      <c r="O851" t="n">
        <v>0</v>
      </c>
      <c r="P851" t="n">
        <v>0</v>
      </c>
      <c r="Q851" t="n">
        <v>0</v>
      </c>
      <c r="R851" s="2" t="inlineStr"/>
    </row>
    <row r="852" ht="15" customHeight="1">
      <c r="A852" t="inlineStr">
        <is>
          <t>A 55377-2024</t>
        </is>
      </c>
      <c r="B852" s="1" t="n">
        <v>45621.9885300926</v>
      </c>
      <c r="C852" s="1" t="n">
        <v>46035</v>
      </c>
      <c r="D852" t="inlineStr">
        <is>
          <t>VÄRMLANDS LÄN</t>
        </is>
      </c>
      <c r="E852" t="inlineStr">
        <is>
          <t>ÅRJÄNG</t>
        </is>
      </c>
      <c r="G852" t="n">
        <v>2.5</v>
      </c>
      <c r="H852" t="n">
        <v>0</v>
      </c>
      <c r="I852" t="n">
        <v>0</v>
      </c>
      <c r="J852" t="n">
        <v>0</v>
      </c>
      <c r="K852" t="n">
        <v>0</v>
      </c>
      <c r="L852" t="n">
        <v>0</v>
      </c>
      <c r="M852" t="n">
        <v>0</v>
      </c>
      <c r="N852" t="n">
        <v>0</v>
      </c>
      <c r="O852" t="n">
        <v>0</v>
      </c>
      <c r="P852" t="n">
        <v>0</v>
      </c>
      <c r="Q852" t="n">
        <v>0</v>
      </c>
      <c r="R852" s="2" t="inlineStr"/>
    </row>
    <row r="853" ht="15" customHeight="1">
      <c r="A853" t="inlineStr">
        <is>
          <t>A 16977-2025</t>
        </is>
      </c>
      <c r="B853" s="1" t="n">
        <v>45755.47517361111</v>
      </c>
      <c r="C853" s="1" t="n">
        <v>46035</v>
      </c>
      <c r="D853" t="inlineStr">
        <is>
          <t>VÄRMLANDS LÄN</t>
        </is>
      </c>
      <c r="E853" t="inlineStr">
        <is>
          <t>ÅRJÄNG</t>
        </is>
      </c>
      <c r="G853" t="n">
        <v>1.7</v>
      </c>
      <c r="H853" t="n">
        <v>0</v>
      </c>
      <c r="I853" t="n">
        <v>0</v>
      </c>
      <c r="J853" t="n">
        <v>0</v>
      </c>
      <c r="K853" t="n">
        <v>0</v>
      </c>
      <c r="L853" t="n">
        <v>0</v>
      </c>
      <c r="M853" t="n">
        <v>0</v>
      </c>
      <c r="N853" t="n">
        <v>0</v>
      </c>
      <c r="O853" t="n">
        <v>0</v>
      </c>
      <c r="P853" t="n">
        <v>0</v>
      </c>
      <c r="Q853" t="n">
        <v>0</v>
      </c>
      <c r="R853" s="2" t="inlineStr"/>
    </row>
    <row r="854" ht="15" customHeight="1">
      <c r="A854" t="inlineStr">
        <is>
          <t>A 61547-2025</t>
        </is>
      </c>
      <c r="B854" s="1" t="n">
        <v>46001</v>
      </c>
      <c r="C854" s="1" t="n">
        <v>46035</v>
      </c>
      <c r="D854" t="inlineStr">
        <is>
          <t>VÄRMLANDS LÄN</t>
        </is>
      </c>
      <c r="E854" t="inlineStr">
        <is>
          <t>ÅRJÄNG</t>
        </is>
      </c>
      <c r="G854" t="n">
        <v>5.2</v>
      </c>
      <c r="H854" t="n">
        <v>0</v>
      </c>
      <c r="I854" t="n">
        <v>0</v>
      </c>
      <c r="J854" t="n">
        <v>0</v>
      </c>
      <c r="K854" t="n">
        <v>0</v>
      </c>
      <c r="L854" t="n">
        <v>0</v>
      </c>
      <c r="M854" t="n">
        <v>0</v>
      </c>
      <c r="N854" t="n">
        <v>0</v>
      </c>
      <c r="O854" t="n">
        <v>0</v>
      </c>
      <c r="P854" t="n">
        <v>0</v>
      </c>
      <c r="Q854" t="n">
        <v>0</v>
      </c>
      <c r="R854" s="2" t="inlineStr"/>
    </row>
    <row r="855" ht="15" customHeight="1">
      <c r="A855" t="inlineStr">
        <is>
          <t>A 56030-2024</t>
        </is>
      </c>
      <c r="B855" s="1" t="n">
        <v>45624.31178240741</v>
      </c>
      <c r="C855" s="1" t="n">
        <v>46035</v>
      </c>
      <c r="D855" t="inlineStr">
        <is>
          <t>VÄRMLANDS LÄN</t>
        </is>
      </c>
      <c r="E855" t="inlineStr">
        <is>
          <t>ÅRJÄNG</t>
        </is>
      </c>
      <c r="G855" t="n">
        <v>2</v>
      </c>
      <c r="H855" t="n">
        <v>0</v>
      </c>
      <c r="I855" t="n">
        <v>0</v>
      </c>
      <c r="J855" t="n">
        <v>0</v>
      </c>
      <c r="K855" t="n">
        <v>0</v>
      </c>
      <c r="L855" t="n">
        <v>0</v>
      </c>
      <c r="M855" t="n">
        <v>0</v>
      </c>
      <c r="N855" t="n">
        <v>0</v>
      </c>
      <c r="O855" t="n">
        <v>0</v>
      </c>
      <c r="P855" t="n">
        <v>0</v>
      </c>
      <c r="Q855" t="n">
        <v>0</v>
      </c>
      <c r="R855" s="2" t="inlineStr"/>
    </row>
    <row r="856" ht="15" customHeight="1">
      <c r="A856" t="inlineStr">
        <is>
          <t>A 51493-2023</t>
        </is>
      </c>
      <c r="B856" s="1" t="n">
        <v>45215</v>
      </c>
      <c r="C856" s="1" t="n">
        <v>46035</v>
      </c>
      <c r="D856" t="inlineStr">
        <is>
          <t>VÄRMLANDS LÄN</t>
        </is>
      </c>
      <c r="E856" t="inlineStr">
        <is>
          <t>ÅRJÄNG</t>
        </is>
      </c>
      <c r="F856" t="inlineStr">
        <is>
          <t>Övriga Aktiebolag</t>
        </is>
      </c>
      <c r="G856" t="n">
        <v>9.1</v>
      </c>
      <c r="H856" t="n">
        <v>0</v>
      </c>
      <c r="I856" t="n">
        <v>0</v>
      </c>
      <c r="J856" t="n">
        <v>0</v>
      </c>
      <c r="K856" t="n">
        <v>0</v>
      </c>
      <c r="L856" t="n">
        <v>0</v>
      </c>
      <c r="M856" t="n">
        <v>0</v>
      </c>
      <c r="N856" t="n">
        <v>0</v>
      </c>
      <c r="O856" t="n">
        <v>0</v>
      </c>
      <c r="P856" t="n">
        <v>0</v>
      </c>
      <c r="Q856" t="n">
        <v>0</v>
      </c>
      <c r="R856" s="2" t="inlineStr"/>
    </row>
    <row r="857" ht="15" customHeight="1">
      <c r="A857" t="inlineStr">
        <is>
          <t>A 18309-2025</t>
        </is>
      </c>
      <c r="B857" s="1" t="n">
        <v>45762.44186342593</v>
      </c>
      <c r="C857" s="1" t="n">
        <v>46035</v>
      </c>
      <c r="D857" t="inlineStr">
        <is>
          <t>VÄRMLANDS LÄN</t>
        </is>
      </c>
      <c r="E857" t="inlineStr">
        <is>
          <t>ÅRJÄNG</t>
        </is>
      </c>
      <c r="G857" t="n">
        <v>6.2</v>
      </c>
      <c r="H857" t="n">
        <v>0</v>
      </c>
      <c r="I857" t="n">
        <v>0</v>
      </c>
      <c r="J857" t="n">
        <v>0</v>
      </c>
      <c r="K857" t="n">
        <v>0</v>
      </c>
      <c r="L857" t="n">
        <v>0</v>
      </c>
      <c r="M857" t="n">
        <v>0</v>
      </c>
      <c r="N857" t="n">
        <v>0</v>
      </c>
      <c r="O857" t="n">
        <v>0</v>
      </c>
      <c r="P857" t="n">
        <v>0</v>
      </c>
      <c r="Q857" t="n">
        <v>0</v>
      </c>
      <c r="R857" s="2" t="inlineStr"/>
    </row>
    <row r="858" ht="15" customHeight="1">
      <c r="A858" t="inlineStr">
        <is>
          <t>A 65844-2021</t>
        </is>
      </c>
      <c r="B858" s="1" t="n">
        <v>44517.36067129629</v>
      </c>
      <c r="C858" s="1" t="n">
        <v>46035</v>
      </c>
      <c r="D858" t="inlineStr">
        <is>
          <t>VÄRMLANDS LÄN</t>
        </is>
      </c>
      <c r="E858" t="inlineStr">
        <is>
          <t>ÅRJÄNG</t>
        </is>
      </c>
      <c r="G858" t="n">
        <v>4.6</v>
      </c>
      <c r="H858" t="n">
        <v>0</v>
      </c>
      <c r="I858" t="n">
        <v>0</v>
      </c>
      <c r="J858" t="n">
        <v>0</v>
      </c>
      <c r="K858" t="n">
        <v>0</v>
      </c>
      <c r="L858" t="n">
        <v>0</v>
      </c>
      <c r="M858" t="n">
        <v>0</v>
      </c>
      <c r="N858" t="n">
        <v>0</v>
      </c>
      <c r="O858" t="n">
        <v>0</v>
      </c>
      <c r="P858" t="n">
        <v>0</v>
      </c>
      <c r="Q858" t="n">
        <v>0</v>
      </c>
      <c r="R858" s="2" t="inlineStr"/>
    </row>
    <row r="859" ht="15" customHeight="1">
      <c r="A859" t="inlineStr">
        <is>
          <t>A 14917-2025</t>
        </is>
      </c>
      <c r="B859" s="1" t="n">
        <v>45743.53748842593</v>
      </c>
      <c r="C859" s="1" t="n">
        <v>46035</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54950-2022</t>
        </is>
      </c>
      <c r="B860" s="1" t="n">
        <v>44886</v>
      </c>
      <c r="C860" s="1" t="n">
        <v>46035</v>
      </c>
      <c r="D860" t="inlineStr">
        <is>
          <t>VÄRMLANDS LÄN</t>
        </is>
      </c>
      <c r="E860" t="inlineStr">
        <is>
          <t>ÅRJÄNG</t>
        </is>
      </c>
      <c r="G860" t="n">
        <v>13</v>
      </c>
      <c r="H860" t="n">
        <v>0</v>
      </c>
      <c r="I860" t="n">
        <v>0</v>
      </c>
      <c r="J860" t="n">
        <v>0</v>
      </c>
      <c r="K860" t="n">
        <v>0</v>
      </c>
      <c r="L860" t="n">
        <v>0</v>
      </c>
      <c r="M860" t="n">
        <v>0</v>
      </c>
      <c r="N860" t="n">
        <v>0</v>
      </c>
      <c r="O860" t="n">
        <v>0</v>
      </c>
      <c r="P860" t="n">
        <v>0</v>
      </c>
      <c r="Q860" t="n">
        <v>0</v>
      </c>
      <c r="R860" s="2" t="inlineStr"/>
    </row>
    <row r="861" ht="15" customHeight="1">
      <c r="A861" t="inlineStr">
        <is>
          <t>A 1717-2025</t>
        </is>
      </c>
      <c r="B861" s="1" t="n">
        <v>45671.32938657407</v>
      </c>
      <c r="C861" s="1" t="n">
        <v>46035</v>
      </c>
      <c r="D861" t="inlineStr">
        <is>
          <t>VÄRMLANDS LÄN</t>
        </is>
      </c>
      <c r="E861" t="inlineStr">
        <is>
          <t>ÅRJÄNG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62240-2022</t>
        </is>
      </c>
      <c r="B862" s="1" t="n">
        <v>44922</v>
      </c>
      <c r="C862" s="1" t="n">
        <v>46035</v>
      </c>
      <c r="D862" t="inlineStr">
        <is>
          <t>VÄRMLANDS LÄN</t>
        </is>
      </c>
      <c r="E862" t="inlineStr">
        <is>
          <t>ÅRJÄNG</t>
        </is>
      </c>
      <c r="G862" t="n">
        <v>0.5</v>
      </c>
      <c r="H862" t="n">
        <v>0</v>
      </c>
      <c r="I862" t="n">
        <v>0</v>
      </c>
      <c r="J862" t="n">
        <v>0</v>
      </c>
      <c r="K862" t="n">
        <v>0</v>
      </c>
      <c r="L862" t="n">
        <v>0</v>
      </c>
      <c r="M862" t="n">
        <v>0</v>
      </c>
      <c r="N862" t="n">
        <v>0</v>
      </c>
      <c r="O862" t="n">
        <v>0</v>
      </c>
      <c r="P862" t="n">
        <v>0</v>
      </c>
      <c r="Q862" t="n">
        <v>0</v>
      </c>
      <c r="R862" s="2" t="inlineStr"/>
    </row>
    <row r="863" ht="15" customHeight="1">
      <c r="A863" t="inlineStr">
        <is>
          <t>A 53298-2025</t>
        </is>
      </c>
      <c r="B863" s="1" t="n">
        <v>45959.23447916667</v>
      </c>
      <c r="C863" s="1" t="n">
        <v>46035</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13871-2025</t>
        </is>
      </c>
      <c r="B864" s="1" t="n">
        <v>45737.58568287037</v>
      </c>
      <c r="C864" s="1" t="n">
        <v>46035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53642-2025</t>
        </is>
      </c>
      <c r="B865" s="1" t="n">
        <v>45960.51290509259</v>
      </c>
      <c r="C865" s="1" t="n">
        <v>46035</v>
      </c>
      <c r="D865" t="inlineStr">
        <is>
          <t>VÄRMLANDS LÄN</t>
        </is>
      </c>
      <c r="E865" t="inlineStr">
        <is>
          <t>ÅRJÄNG</t>
        </is>
      </c>
      <c r="G865" t="n">
        <v>3.7</v>
      </c>
      <c r="H865" t="n">
        <v>0</v>
      </c>
      <c r="I865" t="n">
        <v>0</v>
      </c>
      <c r="J865" t="n">
        <v>0</v>
      </c>
      <c r="K865" t="n">
        <v>0</v>
      </c>
      <c r="L865" t="n">
        <v>0</v>
      </c>
      <c r="M865" t="n">
        <v>0</v>
      </c>
      <c r="N865" t="n">
        <v>0</v>
      </c>
      <c r="O865" t="n">
        <v>0</v>
      </c>
      <c r="P865" t="n">
        <v>0</v>
      </c>
      <c r="Q865" t="n">
        <v>0</v>
      </c>
      <c r="R865" s="2" t="inlineStr"/>
    </row>
    <row r="866" ht="15" customHeight="1">
      <c r="A866" t="inlineStr">
        <is>
          <t>A 61631-2025</t>
        </is>
      </c>
      <c r="B866" s="1" t="n">
        <v>46002.4105787037</v>
      </c>
      <c r="C866" s="1" t="n">
        <v>46035</v>
      </c>
      <c r="D866" t="inlineStr">
        <is>
          <t>VÄRMLANDS LÄN</t>
        </is>
      </c>
      <c r="E866" t="inlineStr">
        <is>
          <t>ÅRJÄNG</t>
        </is>
      </c>
      <c r="G866" t="n">
        <v>1.8</v>
      </c>
      <c r="H866" t="n">
        <v>0</v>
      </c>
      <c r="I866" t="n">
        <v>0</v>
      </c>
      <c r="J866" t="n">
        <v>0</v>
      </c>
      <c r="K866" t="n">
        <v>0</v>
      </c>
      <c r="L866" t="n">
        <v>0</v>
      </c>
      <c r="M866" t="n">
        <v>0</v>
      </c>
      <c r="N866" t="n">
        <v>0</v>
      </c>
      <c r="O866" t="n">
        <v>0</v>
      </c>
      <c r="P866" t="n">
        <v>0</v>
      </c>
      <c r="Q866" t="n">
        <v>0</v>
      </c>
      <c r="R866" s="2" t="inlineStr"/>
    </row>
    <row r="867" ht="15" customHeight="1">
      <c r="A867" t="inlineStr">
        <is>
          <t>A 61548-2025</t>
        </is>
      </c>
      <c r="B867" s="1" t="n">
        <v>46001</v>
      </c>
      <c r="C867" s="1" t="n">
        <v>46035</v>
      </c>
      <c r="D867" t="inlineStr">
        <is>
          <t>VÄRMLANDS LÄN</t>
        </is>
      </c>
      <c r="E867" t="inlineStr">
        <is>
          <t>ÅRJÄNG</t>
        </is>
      </c>
      <c r="G867" t="n">
        <v>2.9</v>
      </c>
      <c r="H867" t="n">
        <v>0</v>
      </c>
      <c r="I867" t="n">
        <v>0</v>
      </c>
      <c r="J867" t="n">
        <v>0</v>
      </c>
      <c r="K867" t="n">
        <v>0</v>
      </c>
      <c r="L867" t="n">
        <v>0</v>
      </c>
      <c r="M867" t="n">
        <v>0</v>
      </c>
      <c r="N867" t="n">
        <v>0</v>
      </c>
      <c r="O867" t="n">
        <v>0</v>
      </c>
      <c r="P867" t="n">
        <v>0</v>
      </c>
      <c r="Q867" t="n">
        <v>0</v>
      </c>
      <c r="R867" s="2" t="inlineStr"/>
    </row>
    <row r="868" ht="15" customHeight="1">
      <c r="A868" t="inlineStr">
        <is>
          <t>A 53751-2025</t>
        </is>
      </c>
      <c r="B868" s="1" t="n">
        <v>45960.65855324074</v>
      </c>
      <c r="C868" s="1" t="n">
        <v>46035</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53752-2025</t>
        </is>
      </c>
      <c r="B869" s="1" t="n">
        <v>45960.66131944444</v>
      </c>
      <c r="C869" s="1" t="n">
        <v>46035</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59746-2023</t>
        </is>
      </c>
      <c r="B870" s="1" t="n">
        <v>45254</v>
      </c>
      <c r="C870" s="1" t="n">
        <v>46035</v>
      </c>
      <c r="D870" t="inlineStr">
        <is>
          <t>VÄRMLANDS LÄN</t>
        </is>
      </c>
      <c r="E870" t="inlineStr">
        <is>
          <t>ÅRJÄNG</t>
        </is>
      </c>
      <c r="G870" t="n">
        <v>4.4</v>
      </c>
      <c r="H870" t="n">
        <v>0</v>
      </c>
      <c r="I870" t="n">
        <v>0</v>
      </c>
      <c r="J870" t="n">
        <v>0</v>
      </c>
      <c r="K870" t="n">
        <v>0</v>
      </c>
      <c r="L870" t="n">
        <v>0</v>
      </c>
      <c r="M870" t="n">
        <v>0</v>
      </c>
      <c r="N870" t="n">
        <v>0</v>
      </c>
      <c r="O870" t="n">
        <v>0</v>
      </c>
      <c r="P870" t="n">
        <v>0</v>
      </c>
      <c r="Q870" t="n">
        <v>0</v>
      </c>
      <c r="R870" s="2" t="inlineStr"/>
    </row>
    <row r="871" ht="15" customHeight="1">
      <c r="A871" t="inlineStr">
        <is>
          <t>A 54155-2025</t>
        </is>
      </c>
      <c r="B871" s="1" t="n">
        <v>45964.49306712963</v>
      </c>
      <c r="C871" s="1" t="n">
        <v>46035</v>
      </c>
      <c r="D871" t="inlineStr">
        <is>
          <t>VÄRMLANDS LÄN</t>
        </is>
      </c>
      <c r="E871" t="inlineStr">
        <is>
          <t>ÅRJÄNG</t>
        </is>
      </c>
      <c r="G871" t="n">
        <v>7.2</v>
      </c>
      <c r="H871" t="n">
        <v>0</v>
      </c>
      <c r="I871" t="n">
        <v>0</v>
      </c>
      <c r="J871" t="n">
        <v>0</v>
      </c>
      <c r="K871" t="n">
        <v>0</v>
      </c>
      <c r="L871" t="n">
        <v>0</v>
      </c>
      <c r="M871" t="n">
        <v>0</v>
      </c>
      <c r="N871" t="n">
        <v>0</v>
      </c>
      <c r="O871" t="n">
        <v>0</v>
      </c>
      <c r="P871" t="n">
        <v>0</v>
      </c>
      <c r="Q871" t="n">
        <v>0</v>
      </c>
      <c r="R871" s="2" t="inlineStr"/>
    </row>
    <row r="872" ht="15" customHeight="1">
      <c r="A872" t="inlineStr">
        <is>
          <t>A 53929-2025</t>
        </is>
      </c>
      <c r="B872" s="1" t="n">
        <v>45961</v>
      </c>
      <c r="C872" s="1" t="n">
        <v>46035</v>
      </c>
      <c r="D872" t="inlineStr">
        <is>
          <t>VÄRMLANDS LÄN</t>
        </is>
      </c>
      <c r="E872" t="inlineStr">
        <is>
          <t>ÅRJÄNG</t>
        </is>
      </c>
      <c r="F872" t="inlineStr">
        <is>
          <t>Bergvik skog väst AB</t>
        </is>
      </c>
      <c r="G872" t="n">
        <v>34.3</v>
      </c>
      <c r="H872" t="n">
        <v>0</v>
      </c>
      <c r="I872" t="n">
        <v>0</v>
      </c>
      <c r="J872" t="n">
        <v>0</v>
      </c>
      <c r="K872" t="n">
        <v>0</v>
      </c>
      <c r="L872" t="n">
        <v>0</v>
      </c>
      <c r="M872" t="n">
        <v>0</v>
      </c>
      <c r="N872" t="n">
        <v>0</v>
      </c>
      <c r="O872" t="n">
        <v>0</v>
      </c>
      <c r="P872" t="n">
        <v>0</v>
      </c>
      <c r="Q872" t="n">
        <v>0</v>
      </c>
      <c r="R872" s="2" t="inlineStr"/>
    </row>
    <row r="873" ht="15" customHeight="1">
      <c r="A873" t="inlineStr">
        <is>
          <t>A 55091-2023</t>
        </is>
      </c>
      <c r="B873" s="1" t="n">
        <v>45237</v>
      </c>
      <c r="C873" s="1" t="n">
        <v>46035</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55517-2023</t>
        </is>
      </c>
      <c r="B874" s="1" t="n">
        <v>45232</v>
      </c>
      <c r="C874" s="1" t="n">
        <v>46035</v>
      </c>
      <c r="D874" t="inlineStr">
        <is>
          <t>VÄRMLANDS LÄN</t>
        </is>
      </c>
      <c r="E874" t="inlineStr">
        <is>
          <t>ÅRJÄNG</t>
        </is>
      </c>
      <c r="G874" t="n">
        <v>1.5</v>
      </c>
      <c r="H874" t="n">
        <v>0</v>
      </c>
      <c r="I874" t="n">
        <v>0</v>
      </c>
      <c r="J874" t="n">
        <v>0</v>
      </c>
      <c r="K874" t="n">
        <v>0</v>
      </c>
      <c r="L874" t="n">
        <v>0</v>
      </c>
      <c r="M874" t="n">
        <v>0</v>
      </c>
      <c r="N874" t="n">
        <v>0</v>
      </c>
      <c r="O874" t="n">
        <v>0</v>
      </c>
      <c r="P874" t="n">
        <v>0</v>
      </c>
      <c r="Q874" t="n">
        <v>0</v>
      </c>
      <c r="R874" s="2" t="inlineStr"/>
    </row>
    <row r="875" ht="15" customHeight="1">
      <c r="A875" t="inlineStr">
        <is>
          <t>A 32950-2024</t>
        </is>
      </c>
      <c r="B875" s="1" t="n">
        <v>45517.36038194445</v>
      </c>
      <c r="C875" s="1" t="n">
        <v>46035</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62086-2025</t>
        </is>
      </c>
      <c r="B876" s="1" t="n">
        <v>46006.37521990741</v>
      </c>
      <c r="C876" s="1" t="n">
        <v>46035</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54111-2025</t>
        </is>
      </c>
      <c r="B877" s="1" t="n">
        <v>45964.43324074074</v>
      </c>
      <c r="C877" s="1" t="n">
        <v>46035</v>
      </c>
      <c r="D877" t="inlineStr">
        <is>
          <t>VÄRMLANDS LÄN</t>
        </is>
      </c>
      <c r="E877" t="inlineStr">
        <is>
          <t>ÅRJÄNG</t>
        </is>
      </c>
      <c r="G877" t="n">
        <v>3.2</v>
      </c>
      <c r="H877" t="n">
        <v>0</v>
      </c>
      <c r="I877" t="n">
        <v>0</v>
      </c>
      <c r="J877" t="n">
        <v>0</v>
      </c>
      <c r="K877" t="n">
        <v>0</v>
      </c>
      <c r="L877" t="n">
        <v>0</v>
      </c>
      <c r="M877" t="n">
        <v>0</v>
      </c>
      <c r="N877" t="n">
        <v>0</v>
      </c>
      <c r="O877" t="n">
        <v>0</v>
      </c>
      <c r="P877" t="n">
        <v>0</v>
      </c>
      <c r="Q877" t="n">
        <v>0</v>
      </c>
      <c r="R877" s="2" t="inlineStr"/>
    </row>
    <row r="878" ht="15" customHeight="1">
      <c r="A878" t="inlineStr">
        <is>
          <t>A 54129-2025</t>
        </is>
      </c>
      <c r="B878" s="1" t="n">
        <v>45964.46063657408</v>
      </c>
      <c r="C878" s="1" t="n">
        <v>46035</v>
      </c>
      <c r="D878" t="inlineStr">
        <is>
          <t>VÄRMLANDS LÄN</t>
        </is>
      </c>
      <c r="E878" t="inlineStr">
        <is>
          <t>ÅRJÄNG</t>
        </is>
      </c>
      <c r="G878" t="n">
        <v>3.1</v>
      </c>
      <c r="H878" t="n">
        <v>0</v>
      </c>
      <c r="I878" t="n">
        <v>0</v>
      </c>
      <c r="J878" t="n">
        <v>0</v>
      </c>
      <c r="K878" t="n">
        <v>0</v>
      </c>
      <c r="L878" t="n">
        <v>0</v>
      </c>
      <c r="M878" t="n">
        <v>0</v>
      </c>
      <c r="N878" t="n">
        <v>0</v>
      </c>
      <c r="O878" t="n">
        <v>0</v>
      </c>
      <c r="P878" t="n">
        <v>0</v>
      </c>
      <c r="Q878" t="n">
        <v>0</v>
      </c>
      <c r="R878" s="2" t="inlineStr"/>
    </row>
    <row r="879" ht="15" customHeight="1">
      <c r="A879" t="inlineStr">
        <is>
          <t>A 54159-2025</t>
        </is>
      </c>
      <c r="B879" s="1" t="n">
        <v>45964.50344907407</v>
      </c>
      <c r="C879" s="1" t="n">
        <v>46035</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15210-2025</t>
        </is>
      </c>
      <c r="B880" s="1" t="n">
        <v>45744</v>
      </c>
      <c r="C880" s="1" t="n">
        <v>46035</v>
      </c>
      <c r="D880" t="inlineStr">
        <is>
          <t>VÄRMLANDS LÄN</t>
        </is>
      </c>
      <c r="E880" t="inlineStr">
        <is>
          <t>ÅRJÄNG</t>
        </is>
      </c>
      <c r="G880" t="n">
        <v>2.7</v>
      </c>
      <c r="H880" t="n">
        <v>0</v>
      </c>
      <c r="I880" t="n">
        <v>0</v>
      </c>
      <c r="J880" t="n">
        <v>0</v>
      </c>
      <c r="K880" t="n">
        <v>0</v>
      </c>
      <c r="L880" t="n">
        <v>0</v>
      </c>
      <c r="M880" t="n">
        <v>0</v>
      </c>
      <c r="N880" t="n">
        <v>0</v>
      </c>
      <c r="O880" t="n">
        <v>0</v>
      </c>
      <c r="P880" t="n">
        <v>0</v>
      </c>
      <c r="Q880" t="n">
        <v>0</v>
      </c>
      <c r="R880" s="2" t="inlineStr"/>
    </row>
    <row r="881" ht="15" customHeight="1">
      <c r="A881" t="inlineStr">
        <is>
          <t>A 16112-2025</t>
        </is>
      </c>
      <c r="B881" s="1" t="n">
        <v>45750.37240740741</v>
      </c>
      <c r="C881" s="1" t="n">
        <v>46035</v>
      </c>
      <c r="D881" t="inlineStr">
        <is>
          <t>VÄRMLANDS LÄN</t>
        </is>
      </c>
      <c r="E881" t="inlineStr">
        <is>
          <t>ÅRJÄNG</t>
        </is>
      </c>
      <c r="G881" t="n">
        <v>0.7</v>
      </c>
      <c r="H881" t="n">
        <v>0</v>
      </c>
      <c r="I881" t="n">
        <v>0</v>
      </c>
      <c r="J881" t="n">
        <v>0</v>
      </c>
      <c r="K881" t="n">
        <v>0</v>
      </c>
      <c r="L881" t="n">
        <v>0</v>
      </c>
      <c r="M881" t="n">
        <v>0</v>
      </c>
      <c r="N881" t="n">
        <v>0</v>
      </c>
      <c r="O881" t="n">
        <v>0</v>
      </c>
      <c r="P881" t="n">
        <v>0</v>
      </c>
      <c r="Q881" t="n">
        <v>0</v>
      </c>
      <c r="R881" s="2" t="inlineStr"/>
    </row>
    <row r="882" ht="15" customHeight="1">
      <c r="A882" t="inlineStr">
        <is>
          <t>A 19621-2025</t>
        </is>
      </c>
      <c r="B882" s="1" t="n">
        <v>45770</v>
      </c>
      <c r="C882" s="1" t="n">
        <v>46035</v>
      </c>
      <c r="D882" t="inlineStr">
        <is>
          <t>VÄRMLANDS LÄN</t>
        </is>
      </c>
      <c r="E882" t="inlineStr">
        <is>
          <t>ÅRJÄNG</t>
        </is>
      </c>
      <c r="F882" t="inlineStr">
        <is>
          <t>Övriga Aktiebolag</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5095-2023</t>
        </is>
      </c>
      <c r="B883" s="1" t="n">
        <v>44953</v>
      </c>
      <c r="C883" s="1" t="n">
        <v>46035</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37325-2024</t>
        </is>
      </c>
      <c r="B884" s="1" t="n">
        <v>45540</v>
      </c>
      <c r="C884" s="1" t="n">
        <v>46035</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61263-2025</t>
        </is>
      </c>
      <c r="B885" s="1" t="n">
        <v>46000</v>
      </c>
      <c r="C885" s="1" t="n">
        <v>46035</v>
      </c>
      <c r="D885" t="inlineStr">
        <is>
          <t>VÄRMLANDS LÄN</t>
        </is>
      </c>
      <c r="E885" t="inlineStr">
        <is>
          <t>ÅRJÄNG</t>
        </is>
      </c>
      <c r="G885" t="n">
        <v>3.7</v>
      </c>
      <c r="H885" t="n">
        <v>0</v>
      </c>
      <c r="I885" t="n">
        <v>0</v>
      </c>
      <c r="J885" t="n">
        <v>0</v>
      </c>
      <c r="K885" t="n">
        <v>0</v>
      </c>
      <c r="L885" t="n">
        <v>0</v>
      </c>
      <c r="M885" t="n">
        <v>0</v>
      </c>
      <c r="N885" t="n">
        <v>0</v>
      </c>
      <c r="O885" t="n">
        <v>0</v>
      </c>
      <c r="P885" t="n">
        <v>0</v>
      </c>
      <c r="Q885" t="n">
        <v>0</v>
      </c>
      <c r="R885" s="2" t="inlineStr"/>
    </row>
    <row r="886" ht="15" customHeight="1">
      <c r="A886" t="inlineStr">
        <is>
          <t>A 12659-2025</t>
        </is>
      </c>
      <c r="B886" s="1" t="n">
        <v>45733.42350694445</v>
      </c>
      <c r="C886" s="1" t="n">
        <v>46035</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58788-2024</t>
        </is>
      </c>
      <c r="B887" s="1" t="n">
        <v>45635.96372685185</v>
      </c>
      <c r="C887" s="1" t="n">
        <v>46035</v>
      </c>
      <c r="D887" t="inlineStr">
        <is>
          <t>VÄRMLANDS LÄN</t>
        </is>
      </c>
      <c r="E887" t="inlineStr">
        <is>
          <t>ÅRJÄNG</t>
        </is>
      </c>
      <c r="G887" t="n">
        <v>12.4</v>
      </c>
      <c r="H887" t="n">
        <v>0</v>
      </c>
      <c r="I887" t="n">
        <v>0</v>
      </c>
      <c r="J887" t="n">
        <v>0</v>
      </c>
      <c r="K887" t="n">
        <v>0</v>
      </c>
      <c r="L887" t="n">
        <v>0</v>
      </c>
      <c r="M887" t="n">
        <v>0</v>
      </c>
      <c r="N887" t="n">
        <v>0</v>
      </c>
      <c r="O887" t="n">
        <v>0</v>
      </c>
      <c r="P887" t="n">
        <v>0</v>
      </c>
      <c r="Q887" t="n">
        <v>0</v>
      </c>
      <c r="R887" s="2" t="inlineStr"/>
    </row>
    <row r="888" ht="15" customHeight="1">
      <c r="A888" t="inlineStr">
        <is>
          <t>A 60377-2023</t>
        </is>
      </c>
      <c r="B888" s="1" t="n">
        <v>45259.40993055556</v>
      </c>
      <c r="C888" s="1" t="n">
        <v>46035</v>
      </c>
      <c r="D888" t="inlineStr">
        <is>
          <t>VÄRMLANDS LÄN</t>
        </is>
      </c>
      <c r="E888" t="inlineStr">
        <is>
          <t>ÅRJÄNG</t>
        </is>
      </c>
      <c r="G888" t="n">
        <v>3.1</v>
      </c>
      <c r="H888" t="n">
        <v>0</v>
      </c>
      <c r="I888" t="n">
        <v>0</v>
      </c>
      <c r="J888" t="n">
        <v>0</v>
      </c>
      <c r="K888" t="n">
        <v>0</v>
      </c>
      <c r="L888" t="n">
        <v>0</v>
      </c>
      <c r="M888" t="n">
        <v>0</v>
      </c>
      <c r="N888" t="n">
        <v>0</v>
      </c>
      <c r="O888" t="n">
        <v>0</v>
      </c>
      <c r="P888" t="n">
        <v>0</v>
      </c>
      <c r="Q888" t="n">
        <v>0</v>
      </c>
      <c r="R888" s="2" t="inlineStr"/>
    </row>
    <row r="889" ht="15" customHeight="1">
      <c r="A889" t="inlineStr">
        <is>
          <t>A 23334-2023</t>
        </is>
      </c>
      <c r="B889" s="1" t="n">
        <v>45076</v>
      </c>
      <c r="C889" s="1" t="n">
        <v>46035</v>
      </c>
      <c r="D889" t="inlineStr">
        <is>
          <t>VÄRMLANDS LÄN</t>
        </is>
      </c>
      <c r="E889" t="inlineStr">
        <is>
          <t>ÅRJÄNG</t>
        </is>
      </c>
      <c r="G889" t="n">
        <v>0.8</v>
      </c>
      <c r="H889" t="n">
        <v>0</v>
      </c>
      <c r="I889" t="n">
        <v>0</v>
      </c>
      <c r="J889" t="n">
        <v>0</v>
      </c>
      <c r="K889" t="n">
        <v>0</v>
      </c>
      <c r="L889" t="n">
        <v>0</v>
      </c>
      <c r="M889" t="n">
        <v>0</v>
      </c>
      <c r="N889" t="n">
        <v>0</v>
      </c>
      <c r="O889" t="n">
        <v>0</v>
      </c>
      <c r="P889" t="n">
        <v>0</v>
      </c>
      <c r="Q889" t="n">
        <v>0</v>
      </c>
      <c r="R889" s="2" t="inlineStr"/>
    </row>
    <row r="890" ht="15" customHeight="1">
      <c r="A890" t="inlineStr">
        <is>
          <t>A 37353-2024</t>
        </is>
      </c>
      <c r="B890" s="1" t="n">
        <v>45540</v>
      </c>
      <c r="C890" s="1" t="n">
        <v>46035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54425-2021</t>
        </is>
      </c>
      <c r="B891" s="1" t="n">
        <v>44459</v>
      </c>
      <c r="C891" s="1" t="n">
        <v>46035</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54430-2025</t>
        </is>
      </c>
      <c r="B892" s="1" t="n">
        <v>45965.49414351852</v>
      </c>
      <c r="C892" s="1" t="n">
        <v>46035</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42783-2024</t>
        </is>
      </c>
      <c r="B893" s="1" t="n">
        <v>45566</v>
      </c>
      <c r="C893" s="1" t="n">
        <v>46035</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62804-2025</t>
        </is>
      </c>
      <c r="B894" s="1" t="n">
        <v>46008.64297453704</v>
      </c>
      <c r="C894" s="1" t="n">
        <v>46035</v>
      </c>
      <c r="D894" t="inlineStr">
        <is>
          <t>VÄRMLANDS LÄN</t>
        </is>
      </c>
      <c r="E894" t="inlineStr">
        <is>
          <t>ÅRJÄNG</t>
        </is>
      </c>
      <c r="F894" t="inlineStr">
        <is>
          <t>Kyrkan</t>
        </is>
      </c>
      <c r="G894" t="n">
        <v>10.4</v>
      </c>
      <c r="H894" t="n">
        <v>0</v>
      </c>
      <c r="I894" t="n">
        <v>0</v>
      </c>
      <c r="J894" t="n">
        <v>0</v>
      </c>
      <c r="K894" t="n">
        <v>0</v>
      </c>
      <c r="L894" t="n">
        <v>0</v>
      </c>
      <c r="M894" t="n">
        <v>0</v>
      </c>
      <c r="N894" t="n">
        <v>0</v>
      </c>
      <c r="O894" t="n">
        <v>0</v>
      </c>
      <c r="P894" t="n">
        <v>0</v>
      </c>
      <c r="Q894" t="n">
        <v>0</v>
      </c>
      <c r="R894" s="2" t="inlineStr"/>
    </row>
    <row r="895" ht="15" customHeight="1">
      <c r="A895" t="inlineStr">
        <is>
          <t>A 36706-2024</t>
        </is>
      </c>
      <c r="B895" s="1" t="n">
        <v>45537</v>
      </c>
      <c r="C895" s="1" t="n">
        <v>46035</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54418-2025</t>
        </is>
      </c>
      <c r="B896" s="1" t="n">
        <v>45965.48027777778</v>
      </c>
      <c r="C896" s="1" t="n">
        <v>46035</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54420-2025</t>
        </is>
      </c>
      <c r="B897" s="1" t="n">
        <v>45965.4834837963</v>
      </c>
      <c r="C897" s="1" t="n">
        <v>46035</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61116-2025</t>
        </is>
      </c>
      <c r="B898" s="1" t="n">
        <v>45999</v>
      </c>
      <c r="C898" s="1" t="n">
        <v>46035</v>
      </c>
      <c r="D898" t="inlineStr">
        <is>
          <t>VÄRMLANDS LÄN</t>
        </is>
      </c>
      <c r="E898" t="inlineStr">
        <is>
          <t>ÅRJÄNG</t>
        </is>
      </c>
      <c r="G898" t="n">
        <v>4.4</v>
      </c>
      <c r="H898" t="n">
        <v>0</v>
      </c>
      <c r="I898" t="n">
        <v>0</v>
      </c>
      <c r="J898" t="n">
        <v>0</v>
      </c>
      <c r="K898" t="n">
        <v>0</v>
      </c>
      <c r="L898" t="n">
        <v>0</v>
      </c>
      <c r="M898" t="n">
        <v>0</v>
      </c>
      <c r="N898" t="n">
        <v>0</v>
      </c>
      <c r="O898" t="n">
        <v>0</v>
      </c>
      <c r="P898" t="n">
        <v>0</v>
      </c>
      <c r="Q898" t="n">
        <v>0</v>
      </c>
      <c r="R898" s="2" t="inlineStr"/>
    </row>
    <row r="899" ht="15" customHeight="1">
      <c r="A899" t="inlineStr">
        <is>
          <t>A 13869-2025</t>
        </is>
      </c>
      <c r="B899" s="1" t="n">
        <v>45737.58268518518</v>
      </c>
      <c r="C899" s="1" t="n">
        <v>46035</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74463-2021</t>
        </is>
      </c>
      <c r="B900" s="1" t="n">
        <v>44560.5255787037</v>
      </c>
      <c r="C900" s="1" t="n">
        <v>46035</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62963-2023</t>
        </is>
      </c>
      <c r="B901" s="1" t="n">
        <v>45271</v>
      </c>
      <c r="C901" s="1" t="n">
        <v>46035</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62851-2025</t>
        </is>
      </c>
      <c r="B902" s="1" t="n">
        <v>46008.703125</v>
      </c>
      <c r="C902" s="1" t="n">
        <v>46035</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59479-2024</t>
        </is>
      </c>
      <c r="B903" s="1" t="n">
        <v>45638.52420138889</v>
      </c>
      <c r="C903" s="1" t="n">
        <v>46035</v>
      </c>
      <c r="D903" t="inlineStr">
        <is>
          <t>VÄRMLANDS LÄN</t>
        </is>
      </c>
      <c r="E903" t="inlineStr">
        <is>
          <t>ÅRJÄNG</t>
        </is>
      </c>
      <c r="G903" t="n">
        <v>2.1</v>
      </c>
      <c r="H903" t="n">
        <v>0</v>
      </c>
      <c r="I903" t="n">
        <v>0</v>
      </c>
      <c r="J903" t="n">
        <v>0</v>
      </c>
      <c r="K903" t="n">
        <v>0</v>
      </c>
      <c r="L903" t="n">
        <v>0</v>
      </c>
      <c r="M903" t="n">
        <v>0</v>
      </c>
      <c r="N903" t="n">
        <v>0</v>
      </c>
      <c r="O903" t="n">
        <v>0</v>
      </c>
      <c r="P903" t="n">
        <v>0</v>
      </c>
      <c r="Q903" t="n">
        <v>0</v>
      </c>
      <c r="R903" s="2" t="inlineStr"/>
    </row>
    <row r="904" ht="15" customHeight="1">
      <c r="A904" t="inlineStr">
        <is>
          <t>A 34144-2022</t>
        </is>
      </c>
      <c r="B904" s="1" t="n">
        <v>44791.55983796297</v>
      </c>
      <c r="C904" s="1" t="n">
        <v>46035</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27045-2021</t>
        </is>
      </c>
      <c r="B905" s="1" t="n">
        <v>44350.43223379629</v>
      </c>
      <c r="C905" s="1" t="n">
        <v>46035</v>
      </c>
      <c r="D905" t="inlineStr">
        <is>
          <t>VÄRMLANDS LÄN</t>
        </is>
      </c>
      <c r="E905" t="inlineStr">
        <is>
          <t>ÅRJÄNG</t>
        </is>
      </c>
      <c r="G905" t="n">
        <v>2</v>
      </c>
      <c r="H905" t="n">
        <v>0</v>
      </c>
      <c r="I905" t="n">
        <v>0</v>
      </c>
      <c r="J905" t="n">
        <v>0</v>
      </c>
      <c r="K905" t="n">
        <v>0</v>
      </c>
      <c r="L905" t="n">
        <v>0</v>
      </c>
      <c r="M905" t="n">
        <v>0</v>
      </c>
      <c r="N905" t="n">
        <v>0</v>
      </c>
      <c r="O905" t="n">
        <v>0</v>
      </c>
      <c r="P905" t="n">
        <v>0</v>
      </c>
      <c r="Q905" t="n">
        <v>0</v>
      </c>
      <c r="R905" s="2" t="inlineStr"/>
    </row>
    <row r="906" ht="15" customHeight="1">
      <c r="A906" t="inlineStr">
        <is>
          <t>A 61814-2024</t>
        </is>
      </c>
      <c r="B906" s="1" t="n">
        <v>45646</v>
      </c>
      <c r="C906" s="1" t="n">
        <v>46035</v>
      </c>
      <c r="D906" t="inlineStr">
        <is>
          <t>VÄRMLANDS LÄN</t>
        </is>
      </c>
      <c r="E906" t="inlineStr">
        <is>
          <t>ÅRJÄNG</t>
        </is>
      </c>
      <c r="G906" t="n">
        <v>5.3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46035</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46035</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23871-2023</t>
        </is>
      </c>
      <c r="B909" s="1" t="n">
        <v>45078</v>
      </c>
      <c r="C909" s="1" t="n">
        <v>46035</v>
      </c>
      <c r="D909" t="inlineStr">
        <is>
          <t>VÄRMLANDS LÄN</t>
        </is>
      </c>
      <c r="E909" t="inlineStr">
        <is>
          <t>ÅRJÄNG</t>
        </is>
      </c>
      <c r="G909" t="n">
        <v>4</v>
      </c>
      <c r="H909" t="n">
        <v>0</v>
      </c>
      <c r="I909" t="n">
        <v>0</v>
      </c>
      <c r="J909" t="n">
        <v>0</v>
      </c>
      <c r="K909" t="n">
        <v>0</v>
      </c>
      <c r="L909" t="n">
        <v>0</v>
      </c>
      <c r="M909" t="n">
        <v>0</v>
      </c>
      <c r="N909" t="n">
        <v>0</v>
      </c>
      <c r="O909" t="n">
        <v>0</v>
      </c>
      <c r="P909" t="n">
        <v>0</v>
      </c>
      <c r="Q909" t="n">
        <v>0</v>
      </c>
      <c r="R909" s="2" t="inlineStr"/>
    </row>
    <row r="910" ht="15" customHeight="1">
      <c r="A910" t="inlineStr">
        <is>
          <t>A 15237-2025</t>
        </is>
      </c>
      <c r="B910" s="1" t="n">
        <v>45744</v>
      </c>
      <c r="C910" s="1" t="n">
        <v>46035</v>
      </c>
      <c r="D910" t="inlineStr">
        <is>
          <t>VÄRMLANDS LÄN</t>
        </is>
      </c>
      <c r="E910" t="inlineStr">
        <is>
          <t>ÅRJÄNG</t>
        </is>
      </c>
      <c r="G910" t="n">
        <v>29.5</v>
      </c>
      <c r="H910" t="n">
        <v>0</v>
      </c>
      <c r="I910" t="n">
        <v>0</v>
      </c>
      <c r="J910" t="n">
        <v>0</v>
      </c>
      <c r="K910" t="n">
        <v>0</v>
      </c>
      <c r="L910" t="n">
        <v>0</v>
      </c>
      <c r="M910" t="n">
        <v>0</v>
      </c>
      <c r="N910" t="n">
        <v>0</v>
      </c>
      <c r="O910" t="n">
        <v>0</v>
      </c>
      <c r="P910" t="n">
        <v>0</v>
      </c>
      <c r="Q910" t="n">
        <v>0</v>
      </c>
      <c r="R910" s="2" t="inlineStr"/>
    </row>
    <row r="911" ht="15" customHeight="1">
      <c r="A911" t="inlineStr">
        <is>
          <t>A 54962-2025</t>
        </is>
      </c>
      <c r="B911" s="1" t="n">
        <v>45967.4825462963</v>
      </c>
      <c r="C911" s="1" t="n">
        <v>46035</v>
      </c>
      <c r="D911" t="inlineStr">
        <is>
          <t>VÄRMLANDS LÄN</t>
        </is>
      </c>
      <c r="E911" t="inlineStr">
        <is>
          <t>ÅRJÄNG</t>
        </is>
      </c>
      <c r="F911" t="inlineStr">
        <is>
          <t>Kyrkan</t>
        </is>
      </c>
      <c r="G911" t="n">
        <v>1.4</v>
      </c>
      <c r="H911" t="n">
        <v>0</v>
      </c>
      <c r="I911" t="n">
        <v>0</v>
      </c>
      <c r="J911" t="n">
        <v>0</v>
      </c>
      <c r="K911" t="n">
        <v>0</v>
      </c>
      <c r="L911" t="n">
        <v>0</v>
      </c>
      <c r="M911" t="n">
        <v>0</v>
      </c>
      <c r="N911" t="n">
        <v>0</v>
      </c>
      <c r="O911" t="n">
        <v>0</v>
      </c>
      <c r="P911" t="n">
        <v>0</v>
      </c>
      <c r="Q911" t="n">
        <v>0</v>
      </c>
      <c r="R911" s="2" t="inlineStr"/>
    </row>
    <row r="912" ht="15" customHeight="1">
      <c r="A912" t="inlineStr">
        <is>
          <t>A 6354-2024</t>
        </is>
      </c>
      <c r="B912" s="1" t="n">
        <v>45338.46987268519</v>
      </c>
      <c r="C912" s="1" t="n">
        <v>46035</v>
      </c>
      <c r="D912" t="inlineStr">
        <is>
          <t>VÄRMLANDS LÄN</t>
        </is>
      </c>
      <c r="E912" t="inlineStr">
        <is>
          <t>ÅRJÄNG</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54990-2025</t>
        </is>
      </c>
      <c r="B913" s="1" t="n">
        <v>45967.57292824074</v>
      </c>
      <c r="C913" s="1" t="n">
        <v>46035</v>
      </c>
      <c r="D913" t="inlineStr">
        <is>
          <t>VÄRMLANDS LÄN</t>
        </is>
      </c>
      <c r="E913" t="inlineStr">
        <is>
          <t>ÅRJÄNG</t>
        </is>
      </c>
      <c r="G913" t="n">
        <v>2.9</v>
      </c>
      <c r="H913" t="n">
        <v>0</v>
      </c>
      <c r="I913" t="n">
        <v>0</v>
      </c>
      <c r="J913" t="n">
        <v>0</v>
      </c>
      <c r="K913" t="n">
        <v>0</v>
      </c>
      <c r="L913" t="n">
        <v>0</v>
      </c>
      <c r="M913" t="n">
        <v>0</v>
      </c>
      <c r="N913" t="n">
        <v>0</v>
      </c>
      <c r="O913" t="n">
        <v>0</v>
      </c>
      <c r="P913" t="n">
        <v>0</v>
      </c>
      <c r="Q913" t="n">
        <v>0</v>
      </c>
      <c r="R913" s="2" t="inlineStr"/>
    </row>
    <row r="914" ht="15" customHeight="1">
      <c r="A914" t="inlineStr">
        <is>
          <t>A 21519-2024</t>
        </is>
      </c>
      <c r="B914" s="1" t="n">
        <v>45441</v>
      </c>
      <c r="C914" s="1" t="n">
        <v>46035</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11776-2025</t>
        </is>
      </c>
      <c r="B915" s="1" t="n">
        <v>45727.70334490741</v>
      </c>
      <c r="C915" s="1" t="n">
        <v>46035</v>
      </c>
      <c r="D915" t="inlineStr">
        <is>
          <t>VÄRMLANDS LÄN</t>
        </is>
      </c>
      <c r="E915" t="inlineStr">
        <is>
          <t>ÅRJÄNG</t>
        </is>
      </c>
      <c r="G915" t="n">
        <v>7.2</v>
      </c>
      <c r="H915" t="n">
        <v>0</v>
      </c>
      <c r="I915" t="n">
        <v>0</v>
      </c>
      <c r="J915" t="n">
        <v>0</v>
      </c>
      <c r="K915" t="n">
        <v>0</v>
      </c>
      <c r="L915" t="n">
        <v>0</v>
      </c>
      <c r="M915" t="n">
        <v>0</v>
      </c>
      <c r="N915" t="n">
        <v>0</v>
      </c>
      <c r="O915" t="n">
        <v>0</v>
      </c>
      <c r="P915" t="n">
        <v>0</v>
      </c>
      <c r="Q915" t="n">
        <v>0</v>
      </c>
      <c r="R915" s="2" t="inlineStr"/>
    </row>
    <row r="916" ht="15" customHeight="1">
      <c r="A916" t="inlineStr">
        <is>
          <t>A 20337-2023</t>
        </is>
      </c>
      <c r="B916" s="1" t="n">
        <v>45056.48157407407</v>
      </c>
      <c r="C916" s="1" t="n">
        <v>46035</v>
      </c>
      <c r="D916" t="inlineStr">
        <is>
          <t>VÄRMLANDS LÄN</t>
        </is>
      </c>
      <c r="E916" t="inlineStr">
        <is>
          <t>ÅRJÄNG</t>
        </is>
      </c>
      <c r="G916" t="n">
        <v>3.1</v>
      </c>
      <c r="H916" t="n">
        <v>0</v>
      </c>
      <c r="I916" t="n">
        <v>0</v>
      </c>
      <c r="J916" t="n">
        <v>0</v>
      </c>
      <c r="K916" t="n">
        <v>0</v>
      </c>
      <c r="L916" t="n">
        <v>0</v>
      </c>
      <c r="M916" t="n">
        <v>0</v>
      </c>
      <c r="N916" t="n">
        <v>0</v>
      </c>
      <c r="O916" t="n">
        <v>0</v>
      </c>
      <c r="P916" t="n">
        <v>0</v>
      </c>
      <c r="Q916" t="n">
        <v>0</v>
      </c>
      <c r="R916" s="2" t="inlineStr"/>
    </row>
    <row r="917" ht="15" customHeight="1">
      <c r="A917" t="inlineStr">
        <is>
          <t>A 42045-2024</t>
        </is>
      </c>
      <c r="B917" s="1" t="n">
        <v>45561</v>
      </c>
      <c r="C917" s="1" t="n">
        <v>46035</v>
      </c>
      <c r="D917" t="inlineStr">
        <is>
          <t>VÄRMLANDS LÄN</t>
        </is>
      </c>
      <c r="E917" t="inlineStr">
        <is>
          <t>ÅRJÄNG</t>
        </is>
      </c>
      <c r="G917" t="n">
        <v>1.9</v>
      </c>
      <c r="H917" t="n">
        <v>0</v>
      </c>
      <c r="I917" t="n">
        <v>0</v>
      </c>
      <c r="J917" t="n">
        <v>0</v>
      </c>
      <c r="K917" t="n">
        <v>0</v>
      </c>
      <c r="L917" t="n">
        <v>0</v>
      </c>
      <c r="M917" t="n">
        <v>0</v>
      </c>
      <c r="N917" t="n">
        <v>0</v>
      </c>
      <c r="O917" t="n">
        <v>0</v>
      </c>
      <c r="P917" t="n">
        <v>0</v>
      </c>
      <c r="Q917" t="n">
        <v>0</v>
      </c>
      <c r="R917" s="2" t="inlineStr"/>
    </row>
    <row r="918" ht="15" customHeight="1">
      <c r="A918" t="inlineStr">
        <is>
          <t>A 55017-2025</t>
        </is>
      </c>
      <c r="B918" s="1" t="n">
        <v>45967.61709490741</v>
      </c>
      <c r="C918" s="1" t="n">
        <v>46035</v>
      </c>
      <c r="D918" t="inlineStr">
        <is>
          <t>VÄRMLANDS LÄN</t>
        </is>
      </c>
      <c r="E918" t="inlineStr">
        <is>
          <t>ÅRJÄNG</t>
        </is>
      </c>
      <c r="G918" t="n">
        <v>10.2</v>
      </c>
      <c r="H918" t="n">
        <v>0</v>
      </c>
      <c r="I918" t="n">
        <v>0</v>
      </c>
      <c r="J918" t="n">
        <v>0</v>
      </c>
      <c r="K918" t="n">
        <v>0</v>
      </c>
      <c r="L918" t="n">
        <v>0</v>
      </c>
      <c r="M918" t="n">
        <v>0</v>
      </c>
      <c r="N918" t="n">
        <v>0</v>
      </c>
      <c r="O918" t="n">
        <v>0</v>
      </c>
      <c r="P918" t="n">
        <v>0</v>
      </c>
      <c r="Q918" t="n">
        <v>0</v>
      </c>
      <c r="R918" s="2" t="inlineStr"/>
    </row>
    <row r="919" ht="15" customHeight="1">
      <c r="A919" t="inlineStr">
        <is>
          <t>A 25495-2024</t>
        </is>
      </c>
      <c r="B919" s="1" t="n">
        <v>45463</v>
      </c>
      <c r="C919" s="1" t="n">
        <v>46035</v>
      </c>
      <c r="D919" t="inlineStr">
        <is>
          <t>VÄRMLANDS LÄN</t>
        </is>
      </c>
      <c r="E919" t="inlineStr">
        <is>
          <t>ÅRJÄNG</t>
        </is>
      </c>
      <c r="F919" t="inlineStr">
        <is>
          <t>Kyrkan</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11793-2023</t>
        </is>
      </c>
      <c r="B920" s="1" t="n">
        <v>44993</v>
      </c>
      <c r="C920" s="1" t="n">
        <v>46035</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14788-2025</t>
        </is>
      </c>
      <c r="B921" s="1" t="n">
        <v>45742.78112268518</v>
      </c>
      <c r="C921" s="1" t="n">
        <v>46035</v>
      </c>
      <c r="D921" t="inlineStr">
        <is>
          <t>VÄRMLANDS LÄN</t>
        </is>
      </c>
      <c r="E921" t="inlineStr">
        <is>
          <t>ÅRJÄNG</t>
        </is>
      </c>
      <c r="G921" t="n">
        <v>2.5</v>
      </c>
      <c r="H921" t="n">
        <v>0</v>
      </c>
      <c r="I921" t="n">
        <v>0</v>
      </c>
      <c r="J921" t="n">
        <v>0</v>
      </c>
      <c r="K921" t="n">
        <v>0</v>
      </c>
      <c r="L921" t="n">
        <v>0</v>
      </c>
      <c r="M921" t="n">
        <v>0</v>
      </c>
      <c r="N921" t="n">
        <v>0</v>
      </c>
      <c r="O921" t="n">
        <v>0</v>
      </c>
      <c r="P921" t="n">
        <v>0</v>
      </c>
      <c r="Q921" t="n">
        <v>0</v>
      </c>
      <c r="R921" s="2" t="inlineStr"/>
    </row>
    <row r="922" ht="15" customHeight="1">
      <c r="A922" t="inlineStr">
        <is>
          <t>A 22032-2023</t>
        </is>
      </c>
      <c r="B922" s="1" t="n">
        <v>45069.35378472223</v>
      </c>
      <c r="C922" s="1" t="n">
        <v>46035</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32367-2023</t>
        </is>
      </c>
      <c r="B923" s="1" t="n">
        <v>45120.57167824074</v>
      </c>
      <c r="C923" s="1" t="n">
        <v>46035</v>
      </c>
      <c r="D923" t="inlineStr">
        <is>
          <t>VÄRMLANDS LÄN</t>
        </is>
      </c>
      <c r="E923" t="inlineStr">
        <is>
          <t>ÅRJÄNG</t>
        </is>
      </c>
      <c r="G923" t="n">
        <v>2.8</v>
      </c>
      <c r="H923" t="n">
        <v>0</v>
      </c>
      <c r="I923" t="n">
        <v>0</v>
      </c>
      <c r="J923" t="n">
        <v>0</v>
      </c>
      <c r="K923" t="n">
        <v>0</v>
      </c>
      <c r="L923" t="n">
        <v>0</v>
      </c>
      <c r="M923" t="n">
        <v>0</v>
      </c>
      <c r="N923" t="n">
        <v>0</v>
      </c>
      <c r="O923" t="n">
        <v>0</v>
      </c>
      <c r="P923" t="n">
        <v>0</v>
      </c>
      <c r="Q923" t="n">
        <v>0</v>
      </c>
      <c r="R923" s="2" t="inlineStr"/>
    </row>
    <row r="924" ht="15" customHeight="1">
      <c r="A924" t="inlineStr">
        <is>
          <t>A 32373-2023</t>
        </is>
      </c>
      <c r="B924" s="1" t="n">
        <v>45120.58025462963</v>
      </c>
      <c r="C924" s="1" t="n">
        <v>46035</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55540-2025</t>
        </is>
      </c>
      <c r="B925" s="1" t="n">
        <v>45971.63444444445</v>
      </c>
      <c r="C925" s="1" t="n">
        <v>46035</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55285-2025</t>
        </is>
      </c>
      <c r="B926" s="1" t="n">
        <v>45968.84447916667</v>
      </c>
      <c r="C926" s="1" t="n">
        <v>46035</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56682-2021</t>
        </is>
      </c>
      <c r="B927" s="1" t="n">
        <v>44481</v>
      </c>
      <c r="C927" s="1" t="n">
        <v>46035</v>
      </c>
      <c r="D927" t="inlineStr">
        <is>
          <t>VÄRMLANDS LÄN</t>
        </is>
      </c>
      <c r="E927" t="inlineStr">
        <is>
          <t>ÅRJÄNG</t>
        </is>
      </c>
      <c r="G927" t="n">
        <v>2.5</v>
      </c>
      <c r="H927" t="n">
        <v>0</v>
      </c>
      <c r="I927" t="n">
        <v>0</v>
      </c>
      <c r="J927" t="n">
        <v>0</v>
      </c>
      <c r="K927" t="n">
        <v>0</v>
      </c>
      <c r="L927" t="n">
        <v>0</v>
      </c>
      <c r="M927" t="n">
        <v>0</v>
      </c>
      <c r="N927" t="n">
        <v>0</v>
      </c>
      <c r="O927" t="n">
        <v>0</v>
      </c>
      <c r="P927" t="n">
        <v>0</v>
      </c>
      <c r="Q927" t="n">
        <v>0</v>
      </c>
      <c r="R927" s="2" t="inlineStr"/>
    </row>
    <row r="928" ht="15" customHeight="1">
      <c r="A928" t="inlineStr">
        <is>
          <t>A 55592-2025</t>
        </is>
      </c>
      <c r="B928" s="1" t="n">
        <v>45971</v>
      </c>
      <c r="C928" s="1" t="n">
        <v>46035</v>
      </c>
      <c r="D928" t="inlineStr">
        <is>
          <t>VÄRMLANDS LÄN</t>
        </is>
      </c>
      <c r="E928" t="inlineStr">
        <is>
          <t>ÅRJÄNG</t>
        </is>
      </c>
      <c r="G928" t="n">
        <v>2.4</v>
      </c>
      <c r="H928" t="n">
        <v>0</v>
      </c>
      <c r="I928" t="n">
        <v>0</v>
      </c>
      <c r="J928" t="n">
        <v>0</v>
      </c>
      <c r="K928" t="n">
        <v>0</v>
      </c>
      <c r="L928" t="n">
        <v>0</v>
      </c>
      <c r="M928" t="n">
        <v>0</v>
      </c>
      <c r="N928" t="n">
        <v>0</v>
      </c>
      <c r="O928" t="n">
        <v>0</v>
      </c>
      <c r="P928" t="n">
        <v>0</v>
      </c>
      <c r="Q928" t="n">
        <v>0</v>
      </c>
      <c r="R928" s="2" t="inlineStr"/>
    </row>
    <row r="929" ht="15" customHeight="1">
      <c r="A929" t="inlineStr">
        <is>
          <t>A 3968-2025</t>
        </is>
      </c>
      <c r="B929" s="1" t="n">
        <v>45684.51925925926</v>
      </c>
      <c r="C929" s="1" t="n">
        <v>46035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52773-2022</t>
        </is>
      </c>
      <c r="B930" s="1" t="n">
        <v>44875.35628472222</v>
      </c>
      <c r="C930" s="1" t="n">
        <v>46035</v>
      </c>
      <c r="D930" t="inlineStr">
        <is>
          <t>VÄRMLANDS LÄN</t>
        </is>
      </c>
      <c r="E930" t="inlineStr">
        <is>
          <t>ÅRJÄNG</t>
        </is>
      </c>
      <c r="G930" t="n">
        <v>4.1</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46035</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55662-2025</t>
        </is>
      </c>
      <c r="B932" s="1" t="n">
        <v>45972.39572916667</v>
      </c>
      <c r="C932" s="1" t="n">
        <v>46035</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55277-2025</t>
        </is>
      </c>
      <c r="B933" s="1" t="n">
        <v>45968.77537037037</v>
      </c>
      <c r="C933" s="1" t="n">
        <v>46035</v>
      </c>
      <c r="D933" t="inlineStr">
        <is>
          <t>VÄRMLANDS LÄN</t>
        </is>
      </c>
      <c r="E933" t="inlineStr">
        <is>
          <t>ÅRJÄNG</t>
        </is>
      </c>
      <c r="G933" t="n">
        <v>3.8</v>
      </c>
      <c r="H933" t="n">
        <v>0</v>
      </c>
      <c r="I933" t="n">
        <v>0</v>
      </c>
      <c r="J933" t="n">
        <v>0</v>
      </c>
      <c r="K933" t="n">
        <v>0</v>
      </c>
      <c r="L933" t="n">
        <v>0</v>
      </c>
      <c r="M933" t="n">
        <v>0</v>
      </c>
      <c r="N933" t="n">
        <v>0</v>
      </c>
      <c r="O933" t="n">
        <v>0</v>
      </c>
      <c r="P933" t="n">
        <v>0</v>
      </c>
      <c r="Q933" t="n">
        <v>0</v>
      </c>
      <c r="R933" s="2" t="inlineStr"/>
    </row>
    <row r="934" ht="15" customHeight="1">
      <c r="A934" t="inlineStr">
        <is>
          <t>A 55534-2025</t>
        </is>
      </c>
      <c r="B934" s="1" t="n">
        <v>45971.63193287037</v>
      </c>
      <c r="C934" s="1" t="n">
        <v>46035</v>
      </c>
      <c r="D934" t="inlineStr">
        <is>
          <t>VÄRMLANDS LÄN</t>
        </is>
      </c>
      <c r="E934" t="inlineStr">
        <is>
          <t>ÅRJÄNG</t>
        </is>
      </c>
      <c r="G934" t="n">
        <v>4.7</v>
      </c>
      <c r="H934" t="n">
        <v>0</v>
      </c>
      <c r="I934" t="n">
        <v>0</v>
      </c>
      <c r="J934" t="n">
        <v>0</v>
      </c>
      <c r="K934" t="n">
        <v>0</v>
      </c>
      <c r="L934" t="n">
        <v>0</v>
      </c>
      <c r="M934" t="n">
        <v>0</v>
      </c>
      <c r="N934" t="n">
        <v>0</v>
      </c>
      <c r="O934" t="n">
        <v>0</v>
      </c>
      <c r="P934" t="n">
        <v>0</v>
      </c>
      <c r="Q934" t="n">
        <v>0</v>
      </c>
      <c r="R934" s="2" t="inlineStr"/>
    </row>
    <row r="935" ht="15" customHeight="1">
      <c r="A935" t="inlineStr">
        <is>
          <t>A 57178-2023</t>
        </is>
      </c>
      <c r="B935" s="1" t="n">
        <v>45240</v>
      </c>
      <c r="C935" s="1" t="n">
        <v>46035</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15574-2025</t>
        </is>
      </c>
      <c r="B936" s="1" t="n">
        <v>45747</v>
      </c>
      <c r="C936" s="1" t="n">
        <v>46035</v>
      </c>
      <c r="D936" t="inlineStr">
        <is>
          <t>VÄRMLANDS LÄN</t>
        </is>
      </c>
      <c r="E936" t="inlineStr">
        <is>
          <t>ÅRJÄNG</t>
        </is>
      </c>
      <c r="G936" t="n">
        <v>2.4</v>
      </c>
      <c r="H936" t="n">
        <v>0</v>
      </c>
      <c r="I936" t="n">
        <v>0</v>
      </c>
      <c r="J936" t="n">
        <v>0</v>
      </c>
      <c r="K936" t="n">
        <v>0</v>
      </c>
      <c r="L936" t="n">
        <v>0</v>
      </c>
      <c r="M936" t="n">
        <v>0</v>
      </c>
      <c r="N936" t="n">
        <v>0</v>
      </c>
      <c r="O936" t="n">
        <v>0</v>
      </c>
      <c r="P936" t="n">
        <v>0</v>
      </c>
      <c r="Q936" t="n">
        <v>0</v>
      </c>
      <c r="R936" s="2" t="inlineStr"/>
    </row>
    <row r="937" ht="15" customHeight="1">
      <c r="A937" t="inlineStr">
        <is>
          <t>A 55276-2025</t>
        </is>
      </c>
      <c r="B937" s="1" t="n">
        <v>45968.76534722222</v>
      </c>
      <c r="C937" s="1" t="n">
        <v>46035</v>
      </c>
      <c r="D937" t="inlineStr">
        <is>
          <t>VÄRMLANDS LÄN</t>
        </is>
      </c>
      <c r="E937" t="inlineStr">
        <is>
          <t>ÅRJÄNG</t>
        </is>
      </c>
      <c r="G937" t="n">
        <v>2.8</v>
      </c>
      <c r="H937" t="n">
        <v>0</v>
      </c>
      <c r="I937" t="n">
        <v>0</v>
      </c>
      <c r="J937" t="n">
        <v>0</v>
      </c>
      <c r="K937" t="n">
        <v>0</v>
      </c>
      <c r="L937" t="n">
        <v>0</v>
      </c>
      <c r="M937" t="n">
        <v>0</v>
      </c>
      <c r="N937" t="n">
        <v>0</v>
      </c>
      <c r="O937" t="n">
        <v>0</v>
      </c>
      <c r="P937" t="n">
        <v>0</v>
      </c>
      <c r="Q937" t="n">
        <v>0</v>
      </c>
      <c r="R937" s="2" t="inlineStr"/>
    </row>
    <row r="938" ht="15" customHeight="1">
      <c r="A938" t="inlineStr">
        <is>
          <t>A 56096-2025</t>
        </is>
      </c>
      <c r="B938" s="1" t="n">
        <v>45973.68275462963</v>
      </c>
      <c r="C938" s="1" t="n">
        <v>46035</v>
      </c>
      <c r="D938" t="inlineStr">
        <is>
          <t>VÄRMLANDS LÄN</t>
        </is>
      </c>
      <c r="E938" t="inlineStr">
        <is>
          <t>ÅRJÄNG</t>
        </is>
      </c>
      <c r="F938" t="inlineStr">
        <is>
          <t>Kyrkan</t>
        </is>
      </c>
      <c r="G938" t="n">
        <v>10.5</v>
      </c>
      <c r="H938" t="n">
        <v>0</v>
      </c>
      <c r="I938" t="n">
        <v>0</v>
      </c>
      <c r="J938" t="n">
        <v>0</v>
      </c>
      <c r="K938" t="n">
        <v>0</v>
      </c>
      <c r="L938" t="n">
        <v>0</v>
      </c>
      <c r="M938" t="n">
        <v>0</v>
      </c>
      <c r="N938" t="n">
        <v>0</v>
      </c>
      <c r="O938" t="n">
        <v>0</v>
      </c>
      <c r="P938" t="n">
        <v>0</v>
      </c>
      <c r="Q938" t="n">
        <v>0</v>
      </c>
      <c r="R938" s="2" t="inlineStr"/>
    </row>
    <row r="939" ht="15" customHeight="1">
      <c r="A939" t="inlineStr">
        <is>
          <t>A 71472-2021</t>
        </is>
      </c>
      <c r="B939" s="1" t="n">
        <v>44540</v>
      </c>
      <c r="C939" s="1" t="n">
        <v>46035</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56329-2024</t>
        </is>
      </c>
      <c r="B940" s="1" t="n">
        <v>45624.79435185185</v>
      </c>
      <c r="C940" s="1" t="n">
        <v>46035</v>
      </c>
      <c r="D940" t="inlineStr">
        <is>
          <t>VÄRMLANDS LÄN</t>
        </is>
      </c>
      <c r="E940" t="inlineStr">
        <is>
          <t>ÅRJÄNG</t>
        </is>
      </c>
      <c r="G940" t="n">
        <v>4.6</v>
      </c>
      <c r="H940" t="n">
        <v>0</v>
      </c>
      <c r="I940" t="n">
        <v>0</v>
      </c>
      <c r="J940" t="n">
        <v>0</v>
      </c>
      <c r="K940" t="n">
        <v>0</v>
      </c>
      <c r="L940" t="n">
        <v>0</v>
      </c>
      <c r="M940" t="n">
        <v>0</v>
      </c>
      <c r="N940" t="n">
        <v>0</v>
      </c>
      <c r="O940" t="n">
        <v>0</v>
      </c>
      <c r="P940" t="n">
        <v>0</v>
      </c>
      <c r="Q940" t="n">
        <v>0</v>
      </c>
      <c r="R940" s="2" t="inlineStr"/>
    </row>
    <row r="941" ht="15" customHeight="1">
      <c r="A941" t="inlineStr">
        <is>
          <t>A 56027-2025</t>
        </is>
      </c>
      <c r="B941" s="1" t="n">
        <v>45973.59994212963</v>
      </c>
      <c r="C941" s="1" t="n">
        <v>46035</v>
      </c>
      <c r="D941" t="inlineStr">
        <is>
          <t>VÄRMLANDS LÄN</t>
        </is>
      </c>
      <c r="E941" t="inlineStr">
        <is>
          <t>ÅRJÄNG</t>
        </is>
      </c>
      <c r="G941" t="n">
        <v>2.7</v>
      </c>
      <c r="H941" t="n">
        <v>0</v>
      </c>
      <c r="I941" t="n">
        <v>0</v>
      </c>
      <c r="J941" t="n">
        <v>0</v>
      </c>
      <c r="K941" t="n">
        <v>0</v>
      </c>
      <c r="L941" t="n">
        <v>0</v>
      </c>
      <c r="M941" t="n">
        <v>0</v>
      </c>
      <c r="N941" t="n">
        <v>0</v>
      </c>
      <c r="O941" t="n">
        <v>0</v>
      </c>
      <c r="P941" t="n">
        <v>0</v>
      </c>
      <c r="Q941" t="n">
        <v>0</v>
      </c>
      <c r="R941" s="2" t="inlineStr"/>
    </row>
    <row r="942" ht="15" customHeight="1">
      <c r="A942" t="inlineStr">
        <is>
          <t>A 7098-2024</t>
        </is>
      </c>
      <c r="B942" s="1" t="n">
        <v>45343</v>
      </c>
      <c r="C942" s="1" t="n">
        <v>46035</v>
      </c>
      <c r="D942" t="inlineStr">
        <is>
          <t>VÄRMLANDS LÄN</t>
        </is>
      </c>
      <c r="E942" t="inlineStr">
        <is>
          <t>ÅRJÄNG</t>
        </is>
      </c>
      <c r="G942" t="n">
        <v>5</v>
      </c>
      <c r="H942" t="n">
        <v>0</v>
      </c>
      <c r="I942" t="n">
        <v>0</v>
      </c>
      <c r="J942" t="n">
        <v>0</v>
      </c>
      <c r="K942" t="n">
        <v>0</v>
      </c>
      <c r="L942" t="n">
        <v>0</v>
      </c>
      <c r="M942" t="n">
        <v>0</v>
      </c>
      <c r="N942" t="n">
        <v>0</v>
      </c>
      <c r="O942" t="n">
        <v>0</v>
      </c>
      <c r="P942" t="n">
        <v>0</v>
      </c>
      <c r="Q942" t="n">
        <v>0</v>
      </c>
      <c r="R942" s="2" t="inlineStr"/>
    </row>
    <row r="943" ht="15" customHeight="1">
      <c r="A943" t="inlineStr">
        <is>
          <t>A 7100-2024</t>
        </is>
      </c>
      <c r="B943" s="1" t="n">
        <v>45343</v>
      </c>
      <c r="C943" s="1" t="n">
        <v>46035</v>
      </c>
      <c r="D943" t="inlineStr">
        <is>
          <t>VÄRMLANDS LÄN</t>
        </is>
      </c>
      <c r="E943" t="inlineStr">
        <is>
          <t>ÅRJÄNG</t>
        </is>
      </c>
      <c r="G943" t="n">
        <v>6.5</v>
      </c>
      <c r="H943" t="n">
        <v>0</v>
      </c>
      <c r="I943" t="n">
        <v>0</v>
      </c>
      <c r="J943" t="n">
        <v>0</v>
      </c>
      <c r="K943" t="n">
        <v>0</v>
      </c>
      <c r="L943" t="n">
        <v>0</v>
      </c>
      <c r="M943" t="n">
        <v>0</v>
      </c>
      <c r="N943" t="n">
        <v>0</v>
      </c>
      <c r="O943" t="n">
        <v>0</v>
      </c>
      <c r="P943" t="n">
        <v>0</v>
      </c>
      <c r="Q943" t="n">
        <v>0</v>
      </c>
      <c r="R943" s="2" t="inlineStr"/>
    </row>
    <row r="944" ht="15" customHeight="1">
      <c r="A944" t="inlineStr">
        <is>
          <t>A 45651-2024</t>
        </is>
      </c>
      <c r="B944" s="1" t="n">
        <v>45579</v>
      </c>
      <c r="C944" s="1" t="n">
        <v>46035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70591-2021</t>
        </is>
      </c>
      <c r="B945" s="1" t="n">
        <v>44537.41471064815</v>
      </c>
      <c r="C945" s="1" t="n">
        <v>46035</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36563-2024</t>
        </is>
      </c>
      <c r="B946" s="1" t="n">
        <v>45537</v>
      </c>
      <c r="C946" s="1" t="n">
        <v>46035</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58491-2023</t>
        </is>
      </c>
      <c r="B947" s="1" t="n">
        <v>45246</v>
      </c>
      <c r="C947" s="1" t="n">
        <v>46035</v>
      </c>
      <c r="D947" t="inlineStr">
        <is>
          <t>VÄRMLANDS LÄN</t>
        </is>
      </c>
      <c r="E947" t="inlineStr">
        <is>
          <t>ÅRJÄNG</t>
        </is>
      </c>
      <c r="G947" t="n">
        <v>11.4</v>
      </c>
      <c r="H947" t="n">
        <v>0</v>
      </c>
      <c r="I947" t="n">
        <v>0</v>
      </c>
      <c r="J947" t="n">
        <v>0</v>
      </c>
      <c r="K947" t="n">
        <v>0</v>
      </c>
      <c r="L947" t="n">
        <v>0</v>
      </c>
      <c r="M947" t="n">
        <v>0</v>
      </c>
      <c r="N947" t="n">
        <v>0</v>
      </c>
      <c r="O947" t="n">
        <v>0</v>
      </c>
      <c r="P947" t="n">
        <v>0</v>
      </c>
      <c r="Q947" t="n">
        <v>0</v>
      </c>
      <c r="R947" s="2" t="inlineStr"/>
    </row>
    <row r="948" ht="15" customHeight="1">
      <c r="A948" t="inlineStr">
        <is>
          <t>A 60191-2023</t>
        </is>
      </c>
      <c r="B948" s="1" t="n">
        <v>45257</v>
      </c>
      <c r="C948" s="1" t="n">
        <v>46035</v>
      </c>
      <c r="D948" t="inlineStr">
        <is>
          <t>VÄRMLANDS LÄN</t>
        </is>
      </c>
      <c r="E948" t="inlineStr">
        <is>
          <t>ÅRJÄNG</t>
        </is>
      </c>
      <c r="G948" t="n">
        <v>7.6</v>
      </c>
      <c r="H948" t="n">
        <v>0</v>
      </c>
      <c r="I948" t="n">
        <v>0</v>
      </c>
      <c r="J948" t="n">
        <v>0</v>
      </c>
      <c r="K948" t="n">
        <v>0</v>
      </c>
      <c r="L948" t="n">
        <v>0</v>
      </c>
      <c r="M948" t="n">
        <v>0</v>
      </c>
      <c r="N948" t="n">
        <v>0</v>
      </c>
      <c r="O948" t="n">
        <v>0</v>
      </c>
      <c r="P948" t="n">
        <v>0</v>
      </c>
      <c r="Q948" t="n">
        <v>0</v>
      </c>
      <c r="R948" s="2" t="inlineStr"/>
    </row>
    <row r="949" ht="15" customHeight="1">
      <c r="A949" t="inlineStr">
        <is>
          <t>A 4784-2023</t>
        </is>
      </c>
      <c r="B949" s="1" t="n">
        <v>44957.59476851852</v>
      </c>
      <c r="C949" s="1" t="n">
        <v>46035</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55901-2023</t>
        </is>
      </c>
      <c r="B950" s="1" t="n">
        <v>45239.86618055555</v>
      </c>
      <c r="C950" s="1" t="n">
        <v>46035</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43029-2021</t>
        </is>
      </c>
      <c r="B951" s="1" t="n">
        <v>44431.49302083333</v>
      </c>
      <c r="C951" s="1" t="n">
        <v>46035</v>
      </c>
      <c r="D951" t="inlineStr">
        <is>
          <t>VÄRMLANDS LÄN</t>
        </is>
      </c>
      <c r="E951" t="inlineStr">
        <is>
          <t>ÅRJÄNG</t>
        </is>
      </c>
      <c r="G951" t="n">
        <v>5.5</v>
      </c>
      <c r="H951" t="n">
        <v>0</v>
      </c>
      <c r="I951" t="n">
        <v>0</v>
      </c>
      <c r="J951" t="n">
        <v>0</v>
      </c>
      <c r="K951" t="n">
        <v>0</v>
      </c>
      <c r="L951" t="n">
        <v>0</v>
      </c>
      <c r="M951" t="n">
        <v>0</v>
      </c>
      <c r="N951" t="n">
        <v>0</v>
      </c>
      <c r="O951" t="n">
        <v>0</v>
      </c>
      <c r="P951" t="n">
        <v>0</v>
      </c>
      <c r="Q951" t="n">
        <v>0</v>
      </c>
      <c r="R951" s="2" t="inlineStr"/>
    </row>
    <row r="952" ht="15" customHeight="1">
      <c r="A952" t="inlineStr">
        <is>
          <t>A 63844-2025</t>
        </is>
      </c>
      <c r="B952" s="1" t="n">
        <v>46020.43506944444</v>
      </c>
      <c r="C952" s="1" t="n">
        <v>46035</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69839-2021</t>
        </is>
      </c>
      <c r="B953" s="1" t="n">
        <v>44532</v>
      </c>
      <c r="C953" s="1" t="n">
        <v>46035</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63858-2025</t>
        </is>
      </c>
      <c r="B954" s="1" t="n">
        <v>46020.48446759259</v>
      </c>
      <c r="C954" s="1" t="n">
        <v>46035</v>
      </c>
      <c r="D954" t="inlineStr">
        <is>
          <t>VÄRMLANDS LÄN</t>
        </is>
      </c>
      <c r="E954" t="inlineStr">
        <is>
          <t>ÅRJÄNG</t>
        </is>
      </c>
      <c r="G954" t="n">
        <v>1.8</v>
      </c>
      <c r="H954" t="n">
        <v>0</v>
      </c>
      <c r="I954" t="n">
        <v>0</v>
      </c>
      <c r="J954" t="n">
        <v>0</v>
      </c>
      <c r="K954" t="n">
        <v>0</v>
      </c>
      <c r="L954" t="n">
        <v>0</v>
      </c>
      <c r="M954" t="n">
        <v>0</v>
      </c>
      <c r="N954" t="n">
        <v>0</v>
      </c>
      <c r="O954" t="n">
        <v>0</v>
      </c>
      <c r="P954" t="n">
        <v>0</v>
      </c>
      <c r="Q954" t="n">
        <v>0</v>
      </c>
      <c r="R954" s="2" t="inlineStr"/>
    </row>
    <row r="955" ht="15" customHeight="1">
      <c r="A955" t="inlineStr">
        <is>
          <t>A 1377-2023</t>
        </is>
      </c>
      <c r="B955" s="1" t="n">
        <v>44936.67111111111</v>
      </c>
      <c r="C955" s="1" t="n">
        <v>46035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56629-2025</t>
        </is>
      </c>
      <c r="B956" s="1" t="n">
        <v>45975</v>
      </c>
      <c r="C956" s="1" t="n">
        <v>46035</v>
      </c>
      <c r="D956" t="inlineStr">
        <is>
          <t>VÄRMLANDS LÄN</t>
        </is>
      </c>
      <c r="E956" t="inlineStr">
        <is>
          <t>ÅRJÄNG</t>
        </is>
      </c>
      <c r="F956" t="inlineStr">
        <is>
          <t>Övriga Aktiebolag</t>
        </is>
      </c>
      <c r="G956" t="n">
        <v>2.7</v>
      </c>
      <c r="H956" t="n">
        <v>0</v>
      </c>
      <c r="I956" t="n">
        <v>0</v>
      </c>
      <c r="J956" t="n">
        <v>0</v>
      </c>
      <c r="K956" t="n">
        <v>0</v>
      </c>
      <c r="L956" t="n">
        <v>0</v>
      </c>
      <c r="M956" t="n">
        <v>0</v>
      </c>
      <c r="N956" t="n">
        <v>0</v>
      </c>
      <c r="O956" t="n">
        <v>0</v>
      </c>
      <c r="P956" t="n">
        <v>0</v>
      </c>
      <c r="Q956" t="n">
        <v>0</v>
      </c>
      <c r="R956" s="2" t="inlineStr"/>
    </row>
    <row r="957" ht="15" customHeight="1">
      <c r="A957" t="inlineStr">
        <is>
          <t>A 3734-2023</t>
        </is>
      </c>
      <c r="B957" s="1" t="n">
        <v>44948</v>
      </c>
      <c r="C957" s="1" t="n">
        <v>46035</v>
      </c>
      <c r="D957" t="inlineStr">
        <is>
          <t>VÄRMLANDS LÄN</t>
        </is>
      </c>
      <c r="E957" t="inlineStr">
        <is>
          <t>ÅRJÄNG</t>
        </is>
      </c>
      <c r="G957" t="n">
        <v>1</v>
      </c>
      <c r="H957" t="n">
        <v>0</v>
      </c>
      <c r="I957" t="n">
        <v>0</v>
      </c>
      <c r="J957" t="n">
        <v>0</v>
      </c>
      <c r="K957" t="n">
        <v>0</v>
      </c>
      <c r="L957" t="n">
        <v>0</v>
      </c>
      <c r="M957" t="n">
        <v>0</v>
      </c>
      <c r="N957" t="n">
        <v>0</v>
      </c>
      <c r="O957" t="n">
        <v>0</v>
      </c>
      <c r="P957" t="n">
        <v>0</v>
      </c>
      <c r="Q957" t="n">
        <v>0</v>
      </c>
      <c r="R957" s="2" t="inlineStr"/>
    </row>
    <row r="958" ht="15" customHeight="1">
      <c r="A958" t="inlineStr">
        <is>
          <t>A 63837-2025</t>
        </is>
      </c>
      <c r="B958" s="1" t="n">
        <v>46020.41344907408</v>
      </c>
      <c r="C958" s="1" t="n">
        <v>46035</v>
      </c>
      <c r="D958" t="inlineStr">
        <is>
          <t>VÄRMLANDS LÄN</t>
        </is>
      </c>
      <c r="E958" t="inlineStr">
        <is>
          <t>ÅRJÄNG</t>
        </is>
      </c>
      <c r="G958" t="n">
        <v>5.6</v>
      </c>
      <c r="H958" t="n">
        <v>0</v>
      </c>
      <c r="I958" t="n">
        <v>0</v>
      </c>
      <c r="J958" t="n">
        <v>0</v>
      </c>
      <c r="K958" t="n">
        <v>0</v>
      </c>
      <c r="L958" t="n">
        <v>0</v>
      </c>
      <c r="M958" t="n">
        <v>0</v>
      </c>
      <c r="N958" t="n">
        <v>0</v>
      </c>
      <c r="O958" t="n">
        <v>0</v>
      </c>
      <c r="P958" t="n">
        <v>0</v>
      </c>
      <c r="Q958" t="n">
        <v>0</v>
      </c>
      <c r="R958" s="2" t="inlineStr"/>
    </row>
    <row r="959" ht="15" customHeight="1">
      <c r="A959" t="inlineStr">
        <is>
          <t>A 34350-2023</t>
        </is>
      </c>
      <c r="B959" s="1" t="n">
        <v>45139.40969907407</v>
      </c>
      <c r="C959" s="1" t="n">
        <v>46035</v>
      </c>
      <c r="D959" t="inlineStr">
        <is>
          <t>VÄRMLANDS LÄN</t>
        </is>
      </c>
      <c r="E959" t="inlineStr">
        <is>
          <t>ÅRJÄNG</t>
        </is>
      </c>
      <c r="G959" t="n">
        <v>3.2</v>
      </c>
      <c r="H959" t="n">
        <v>0</v>
      </c>
      <c r="I959" t="n">
        <v>0</v>
      </c>
      <c r="J959" t="n">
        <v>0</v>
      </c>
      <c r="K959" t="n">
        <v>0</v>
      </c>
      <c r="L959" t="n">
        <v>0</v>
      </c>
      <c r="M959" t="n">
        <v>0</v>
      </c>
      <c r="N959" t="n">
        <v>0</v>
      </c>
      <c r="O959" t="n">
        <v>0</v>
      </c>
      <c r="P959" t="n">
        <v>0</v>
      </c>
      <c r="Q959" t="n">
        <v>0</v>
      </c>
      <c r="R959" s="2" t="inlineStr"/>
    </row>
    <row r="960" ht="15" customHeight="1">
      <c r="A960" t="inlineStr">
        <is>
          <t>A 7619-2023</t>
        </is>
      </c>
      <c r="B960" s="1" t="n">
        <v>44967</v>
      </c>
      <c r="C960" s="1" t="n">
        <v>46035</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60377-2022</t>
        </is>
      </c>
      <c r="B961" s="1" t="n">
        <v>44904</v>
      </c>
      <c r="C961" s="1" t="n">
        <v>46035</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65844-2021</t>
        </is>
      </c>
      <c r="B962" s="1" t="n">
        <v>44517.36067129629</v>
      </c>
      <c r="C962" s="1" t="n">
        <v>46035</v>
      </c>
      <c r="D962" t="inlineStr">
        <is>
          <t>VÄRMLANDS LÄN</t>
        </is>
      </c>
      <c r="E962" t="inlineStr">
        <is>
          <t>ÅRJÄNG</t>
        </is>
      </c>
      <c r="G962" t="n">
        <v>4.6</v>
      </c>
      <c r="H962" t="n">
        <v>0</v>
      </c>
      <c r="I962" t="n">
        <v>0</v>
      </c>
      <c r="J962" t="n">
        <v>0</v>
      </c>
      <c r="K962" t="n">
        <v>0</v>
      </c>
      <c r="L962" t="n">
        <v>0</v>
      </c>
      <c r="M962" t="n">
        <v>0</v>
      </c>
      <c r="N962" t="n">
        <v>0</v>
      </c>
      <c r="O962" t="n">
        <v>0</v>
      </c>
      <c r="P962" t="n">
        <v>0</v>
      </c>
      <c r="Q962" t="n">
        <v>0</v>
      </c>
      <c r="R962" s="2" t="inlineStr"/>
    </row>
    <row r="963" ht="15" customHeight="1">
      <c r="A963" t="inlineStr">
        <is>
          <t>A 57240-2025</t>
        </is>
      </c>
      <c r="B963" s="1" t="n">
        <v>45979.62587962963</v>
      </c>
      <c r="C963" s="1" t="n">
        <v>46035</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57301-2025</t>
        </is>
      </c>
      <c r="B964" s="1" t="n">
        <v>45979</v>
      </c>
      <c r="C964" s="1" t="n">
        <v>46035</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46315-2024</t>
        </is>
      </c>
      <c r="B965" s="1" t="n">
        <v>45581.73703703703</v>
      </c>
      <c r="C965" s="1" t="n">
        <v>46035</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14910-2025</t>
        </is>
      </c>
      <c r="B966" s="1" t="n">
        <v>45743.52327546296</v>
      </c>
      <c r="C966" s="1" t="n">
        <v>46035</v>
      </c>
      <c r="D966" t="inlineStr">
        <is>
          <t>VÄRMLANDS LÄN</t>
        </is>
      </c>
      <c r="E966" t="inlineStr">
        <is>
          <t>ÅRJÄNG</t>
        </is>
      </c>
      <c r="G966" t="n">
        <v>2.2</v>
      </c>
      <c r="H966" t="n">
        <v>0</v>
      </c>
      <c r="I966" t="n">
        <v>0</v>
      </c>
      <c r="J966" t="n">
        <v>0</v>
      </c>
      <c r="K966" t="n">
        <v>0</v>
      </c>
      <c r="L966" t="n">
        <v>0</v>
      </c>
      <c r="M966" t="n">
        <v>0</v>
      </c>
      <c r="N966" t="n">
        <v>0</v>
      </c>
      <c r="O966" t="n">
        <v>0</v>
      </c>
      <c r="P966" t="n">
        <v>0</v>
      </c>
      <c r="Q966" t="n">
        <v>0</v>
      </c>
      <c r="R966" s="2" t="inlineStr"/>
    </row>
    <row r="967" ht="15" customHeight="1">
      <c r="A967" t="inlineStr">
        <is>
          <t>A 59336-2025</t>
        </is>
      </c>
      <c r="B967" s="1" t="n">
        <v>45979.67002314814</v>
      </c>
      <c r="C967" s="1" t="n">
        <v>46035</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64095-2025</t>
        </is>
      </c>
      <c r="B968" s="1" t="n">
        <v>46021.75336805556</v>
      </c>
      <c r="C968" s="1" t="n">
        <v>46035</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57273-2025</t>
        </is>
      </c>
      <c r="B969" s="1" t="n">
        <v>45979.68439814815</v>
      </c>
      <c r="C969" s="1" t="n">
        <v>46035</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57439-2025</t>
        </is>
      </c>
      <c r="B970" s="1" t="n">
        <v>45980.48193287037</v>
      </c>
      <c r="C970" s="1" t="n">
        <v>46035</v>
      </c>
      <c r="D970" t="inlineStr">
        <is>
          <t>VÄRMLANDS LÄN</t>
        </is>
      </c>
      <c r="E970" t="inlineStr">
        <is>
          <t>ÅRJÄNG</t>
        </is>
      </c>
      <c r="G970" t="n">
        <v>4.4</v>
      </c>
      <c r="H970" t="n">
        <v>0</v>
      </c>
      <c r="I970" t="n">
        <v>0</v>
      </c>
      <c r="J970" t="n">
        <v>0</v>
      </c>
      <c r="K970" t="n">
        <v>0</v>
      </c>
      <c r="L970" t="n">
        <v>0</v>
      </c>
      <c r="M970" t="n">
        <v>0</v>
      </c>
      <c r="N970" t="n">
        <v>0</v>
      </c>
      <c r="O970" t="n">
        <v>0</v>
      </c>
      <c r="P970" t="n">
        <v>0</v>
      </c>
      <c r="Q970" t="n">
        <v>0</v>
      </c>
      <c r="R970" s="2" t="inlineStr"/>
    </row>
    <row r="971" ht="15" customHeight="1">
      <c r="A971" t="inlineStr">
        <is>
          <t>A 57078-2025</t>
        </is>
      </c>
      <c r="B971" s="1" t="n">
        <v>45979.40554398148</v>
      </c>
      <c r="C971" s="1" t="n">
        <v>46035</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57218-2025</t>
        </is>
      </c>
      <c r="B972" s="1" t="n">
        <v>45979.61164351852</v>
      </c>
      <c r="C972" s="1" t="n">
        <v>46035</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37220-2024</t>
        </is>
      </c>
      <c r="B973" s="1" t="n">
        <v>45539.84837962963</v>
      </c>
      <c r="C973" s="1" t="n">
        <v>46035</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57003-2025</t>
        </is>
      </c>
      <c r="B974" s="1" t="n">
        <v>45978.75783564815</v>
      </c>
      <c r="C974" s="1" t="n">
        <v>46035</v>
      </c>
      <c r="D974" t="inlineStr">
        <is>
          <t>VÄRMLANDS LÄN</t>
        </is>
      </c>
      <c r="E974" t="inlineStr">
        <is>
          <t>ÅRJÄNG</t>
        </is>
      </c>
      <c r="G974" t="n">
        <v>3</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44995.61495370371</v>
      </c>
      <c r="C975" s="1" t="n">
        <v>46035</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57004-2025</t>
        </is>
      </c>
      <c r="B976" s="1" t="n">
        <v>45978.75946759259</v>
      </c>
      <c r="C976" s="1" t="n">
        <v>46035</v>
      </c>
      <c r="D976" t="inlineStr">
        <is>
          <t>VÄRMLANDS LÄN</t>
        </is>
      </c>
      <c r="E976" t="inlineStr">
        <is>
          <t>ÅRJÄNG</t>
        </is>
      </c>
      <c r="G976" t="n">
        <v>2.2</v>
      </c>
      <c r="H976" t="n">
        <v>0</v>
      </c>
      <c r="I976" t="n">
        <v>0</v>
      </c>
      <c r="J976" t="n">
        <v>0</v>
      </c>
      <c r="K976" t="n">
        <v>0</v>
      </c>
      <c r="L976" t="n">
        <v>0</v>
      </c>
      <c r="M976" t="n">
        <v>0</v>
      </c>
      <c r="N976" t="n">
        <v>0</v>
      </c>
      <c r="O976" t="n">
        <v>0</v>
      </c>
      <c r="P976" t="n">
        <v>0</v>
      </c>
      <c r="Q976" t="n">
        <v>0</v>
      </c>
      <c r="R976" s="2" t="inlineStr"/>
    </row>
    <row r="977" ht="15" customHeight="1">
      <c r="A977" t="inlineStr">
        <is>
          <t>A 57005-2025</t>
        </is>
      </c>
      <c r="B977" s="1" t="n">
        <v>45978.76155092593</v>
      </c>
      <c r="C977" s="1" t="n">
        <v>46035</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52803-2024</t>
        </is>
      </c>
      <c r="B978" s="1" t="n">
        <v>45610</v>
      </c>
      <c r="C978" s="1" t="n">
        <v>46035</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6405-2024</t>
        </is>
      </c>
      <c r="B979" s="1" t="n">
        <v>45338</v>
      </c>
      <c r="C979" s="1" t="n">
        <v>46035</v>
      </c>
      <c r="D979" t="inlineStr">
        <is>
          <t>VÄRMLANDS LÄN</t>
        </is>
      </c>
      <c r="E979" t="inlineStr">
        <is>
          <t>ÅRJÄNG</t>
        </is>
      </c>
      <c r="G979" t="n">
        <v>1.4</v>
      </c>
      <c r="H979" t="n">
        <v>0</v>
      </c>
      <c r="I979" t="n">
        <v>0</v>
      </c>
      <c r="J979" t="n">
        <v>0</v>
      </c>
      <c r="K979" t="n">
        <v>0</v>
      </c>
      <c r="L979" t="n">
        <v>0</v>
      </c>
      <c r="M979" t="n">
        <v>0</v>
      </c>
      <c r="N979" t="n">
        <v>0</v>
      </c>
      <c r="O979" t="n">
        <v>0</v>
      </c>
      <c r="P979" t="n">
        <v>0</v>
      </c>
      <c r="Q979" t="n">
        <v>0</v>
      </c>
      <c r="R979" s="2" t="inlineStr"/>
    </row>
    <row r="980" ht="15" customHeight="1">
      <c r="A980" t="inlineStr">
        <is>
          <t>A 13859-2023</t>
        </is>
      </c>
      <c r="B980" s="1" t="n">
        <v>45007.63384259259</v>
      </c>
      <c r="C980" s="1" t="n">
        <v>46035</v>
      </c>
      <c r="D980" t="inlineStr">
        <is>
          <t>VÄRMLANDS LÄN</t>
        </is>
      </c>
      <c r="E980" t="inlineStr">
        <is>
          <t>ÅRJÄNG</t>
        </is>
      </c>
      <c r="G980" t="n">
        <v>3</v>
      </c>
      <c r="H980" t="n">
        <v>0</v>
      </c>
      <c r="I980" t="n">
        <v>0</v>
      </c>
      <c r="J980" t="n">
        <v>0</v>
      </c>
      <c r="K980" t="n">
        <v>0</v>
      </c>
      <c r="L980" t="n">
        <v>0</v>
      </c>
      <c r="M980" t="n">
        <v>0</v>
      </c>
      <c r="N980" t="n">
        <v>0</v>
      </c>
      <c r="O980" t="n">
        <v>0</v>
      </c>
      <c r="P980" t="n">
        <v>0</v>
      </c>
      <c r="Q980" t="n">
        <v>0</v>
      </c>
      <c r="R980" s="2" t="inlineStr"/>
    </row>
    <row r="981" ht="15" customHeight="1">
      <c r="A981" t="inlineStr">
        <is>
          <t>A 63796-2021</t>
        </is>
      </c>
      <c r="B981" s="1" t="n">
        <v>44509</v>
      </c>
      <c r="C981" s="1" t="n">
        <v>46035</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57740-2025</t>
        </is>
      </c>
      <c r="B982" s="1" t="n">
        <v>45981</v>
      </c>
      <c r="C982" s="1" t="n">
        <v>46035</v>
      </c>
      <c r="D982" t="inlineStr">
        <is>
          <t>VÄRMLANDS LÄN</t>
        </is>
      </c>
      <c r="E982" t="inlineStr">
        <is>
          <t>ÅRJÄNG</t>
        </is>
      </c>
      <c r="G982" t="n">
        <v>6.4</v>
      </c>
      <c r="H982" t="n">
        <v>0</v>
      </c>
      <c r="I982" t="n">
        <v>0</v>
      </c>
      <c r="J982" t="n">
        <v>0</v>
      </c>
      <c r="K982" t="n">
        <v>0</v>
      </c>
      <c r="L982" t="n">
        <v>0</v>
      </c>
      <c r="M982" t="n">
        <v>0</v>
      </c>
      <c r="N982" t="n">
        <v>0</v>
      </c>
      <c r="O982" t="n">
        <v>0</v>
      </c>
      <c r="P982" t="n">
        <v>0</v>
      </c>
      <c r="Q982" t="n">
        <v>0</v>
      </c>
      <c r="R982" s="2" t="inlineStr"/>
    </row>
    <row r="983" ht="15" customHeight="1">
      <c r="A983" t="inlineStr">
        <is>
          <t>A 50941-2023</t>
        </is>
      </c>
      <c r="B983" s="1" t="n">
        <v>45218</v>
      </c>
      <c r="C983" s="1" t="n">
        <v>46035</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57651-2024</t>
        </is>
      </c>
      <c r="B984" s="1" t="n">
        <v>45630</v>
      </c>
      <c r="C984" s="1" t="n">
        <v>46035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57741-2025</t>
        </is>
      </c>
      <c r="B985" s="1" t="n">
        <v>45981</v>
      </c>
      <c r="C985" s="1" t="n">
        <v>46035</v>
      </c>
      <c r="D985" t="inlineStr">
        <is>
          <t>VÄRMLANDS LÄN</t>
        </is>
      </c>
      <c r="E985" t="inlineStr">
        <is>
          <t>ÅRJÄNG</t>
        </is>
      </c>
      <c r="G985" t="n">
        <v>2.8</v>
      </c>
      <c r="H985" t="n">
        <v>0</v>
      </c>
      <c r="I985" t="n">
        <v>0</v>
      </c>
      <c r="J985" t="n">
        <v>0</v>
      </c>
      <c r="K985" t="n">
        <v>0</v>
      </c>
      <c r="L985" t="n">
        <v>0</v>
      </c>
      <c r="M985" t="n">
        <v>0</v>
      </c>
      <c r="N985" t="n">
        <v>0</v>
      </c>
      <c r="O985" t="n">
        <v>0</v>
      </c>
      <c r="P985" t="n">
        <v>0</v>
      </c>
      <c r="Q985" t="n">
        <v>0</v>
      </c>
      <c r="R985" s="2" t="inlineStr"/>
    </row>
    <row r="986" ht="15" customHeight="1">
      <c r="A986" t="inlineStr">
        <is>
          <t>A 57752-2025</t>
        </is>
      </c>
      <c r="B986" s="1" t="n">
        <v>45981</v>
      </c>
      <c r="C986" s="1" t="n">
        <v>46035</v>
      </c>
      <c r="D986" t="inlineStr">
        <is>
          <t>VÄRMLANDS LÄN</t>
        </is>
      </c>
      <c r="E986" t="inlineStr">
        <is>
          <t>ÅRJÄNG</t>
        </is>
      </c>
      <c r="G986" t="n">
        <v>4.3</v>
      </c>
      <c r="H986" t="n">
        <v>0</v>
      </c>
      <c r="I986" t="n">
        <v>0</v>
      </c>
      <c r="J986" t="n">
        <v>0</v>
      </c>
      <c r="K986" t="n">
        <v>0</v>
      </c>
      <c r="L986" t="n">
        <v>0</v>
      </c>
      <c r="M986" t="n">
        <v>0</v>
      </c>
      <c r="N986" t="n">
        <v>0</v>
      </c>
      <c r="O986" t="n">
        <v>0</v>
      </c>
      <c r="P986" t="n">
        <v>0</v>
      </c>
      <c r="Q986" t="n">
        <v>0</v>
      </c>
      <c r="R986" s="2" t="inlineStr"/>
    </row>
    <row r="987" ht="15" customHeight="1">
      <c r="A987" t="inlineStr">
        <is>
          <t>A 57924-2025</t>
        </is>
      </c>
      <c r="B987" s="1" t="n">
        <v>45981</v>
      </c>
      <c r="C987" s="1" t="n">
        <v>46035</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35133-2024</t>
        </is>
      </c>
      <c r="B988" s="1" t="n">
        <v>45529</v>
      </c>
      <c r="C988" s="1" t="n">
        <v>46035</v>
      </c>
      <c r="D988" t="inlineStr">
        <is>
          <t>VÄRMLANDS LÄN</t>
        </is>
      </c>
      <c r="E988" t="inlineStr">
        <is>
          <t>ÅRJÄNG</t>
        </is>
      </c>
      <c r="G988" t="n">
        <v>10.2</v>
      </c>
      <c r="H988" t="n">
        <v>0</v>
      </c>
      <c r="I988" t="n">
        <v>0</v>
      </c>
      <c r="J988" t="n">
        <v>0</v>
      </c>
      <c r="K988" t="n">
        <v>0</v>
      </c>
      <c r="L988" t="n">
        <v>0</v>
      </c>
      <c r="M988" t="n">
        <v>0</v>
      </c>
      <c r="N988" t="n">
        <v>0</v>
      </c>
      <c r="O988" t="n">
        <v>0</v>
      </c>
      <c r="P988" t="n">
        <v>0</v>
      </c>
      <c r="Q988" t="n">
        <v>0</v>
      </c>
      <c r="R988" s="2" t="inlineStr"/>
    </row>
    <row r="989" ht="15" customHeight="1">
      <c r="A989" t="inlineStr">
        <is>
          <t>A 4465-2022</t>
        </is>
      </c>
      <c r="B989" s="1" t="n">
        <v>44589.60690972222</v>
      </c>
      <c r="C989" s="1" t="n">
        <v>46035</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58874-2023</t>
        </is>
      </c>
      <c r="B990" s="1" t="n">
        <v>45252</v>
      </c>
      <c r="C990" s="1" t="n">
        <v>46035</v>
      </c>
      <c r="D990" t="inlineStr">
        <is>
          <t>VÄRMLANDS LÄN</t>
        </is>
      </c>
      <c r="E990" t="inlineStr">
        <is>
          <t>ÅRJÄNG</t>
        </is>
      </c>
      <c r="G990" t="n">
        <v>2.5</v>
      </c>
      <c r="H990" t="n">
        <v>0</v>
      </c>
      <c r="I990" t="n">
        <v>0</v>
      </c>
      <c r="J990" t="n">
        <v>0</v>
      </c>
      <c r="K990" t="n">
        <v>0</v>
      </c>
      <c r="L990" t="n">
        <v>0</v>
      </c>
      <c r="M990" t="n">
        <v>0</v>
      </c>
      <c r="N990" t="n">
        <v>0</v>
      </c>
      <c r="O990" t="n">
        <v>0</v>
      </c>
      <c r="P990" t="n">
        <v>0</v>
      </c>
      <c r="Q990" t="n">
        <v>0</v>
      </c>
      <c r="R990" s="2" t="inlineStr"/>
    </row>
    <row r="991" ht="15" customHeight="1">
      <c r="A991" t="inlineStr">
        <is>
          <t>A 57925-2025</t>
        </is>
      </c>
      <c r="B991" s="1" t="n">
        <v>45981.87783564815</v>
      </c>
      <c r="C991" s="1" t="n">
        <v>46035</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57929-2025</t>
        </is>
      </c>
      <c r="B992" s="1" t="n">
        <v>45981.89403935185</v>
      </c>
      <c r="C992" s="1" t="n">
        <v>46035</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62357-2021</t>
        </is>
      </c>
      <c r="B993" s="1" t="n">
        <v>44503.45271990741</v>
      </c>
      <c r="C993" s="1" t="n">
        <v>46035</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58571-2025</t>
        </is>
      </c>
      <c r="B994" s="1" t="n">
        <v>45986.37361111111</v>
      </c>
      <c r="C994" s="1" t="n">
        <v>46035</v>
      </c>
      <c r="D994" t="inlineStr">
        <is>
          <t>VÄRMLANDS LÄN</t>
        </is>
      </c>
      <c r="E994" t="inlineStr">
        <is>
          <t>ÅRJÄNG</t>
        </is>
      </c>
      <c r="G994" t="n">
        <v>3</v>
      </c>
      <c r="H994" t="n">
        <v>0</v>
      </c>
      <c r="I994" t="n">
        <v>0</v>
      </c>
      <c r="J994" t="n">
        <v>0</v>
      </c>
      <c r="K994" t="n">
        <v>0</v>
      </c>
      <c r="L994" t="n">
        <v>0</v>
      </c>
      <c r="M994" t="n">
        <v>0</v>
      </c>
      <c r="N994" t="n">
        <v>0</v>
      </c>
      <c r="O994" t="n">
        <v>0</v>
      </c>
      <c r="P994" t="n">
        <v>0</v>
      </c>
      <c r="Q994" t="n">
        <v>0</v>
      </c>
      <c r="R994" s="2" t="inlineStr"/>
    </row>
    <row r="995" ht="15" customHeight="1">
      <c r="A995" t="inlineStr">
        <is>
          <t>A 29204-2023</t>
        </is>
      </c>
      <c r="B995" s="1" t="n">
        <v>45105.5669212963</v>
      </c>
      <c r="C995" s="1" t="n">
        <v>46035</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58577-2025</t>
        </is>
      </c>
      <c r="B996" s="1" t="n">
        <v>45986.38273148148</v>
      </c>
      <c r="C996" s="1" t="n">
        <v>46035</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38536-2024</t>
        </is>
      </c>
      <c r="B997" s="1" t="n">
        <v>45546.59431712963</v>
      </c>
      <c r="C997" s="1" t="n">
        <v>46035</v>
      </c>
      <c r="D997" t="inlineStr">
        <is>
          <t>VÄRMLANDS LÄN</t>
        </is>
      </c>
      <c r="E997" t="inlineStr">
        <is>
          <t>ÅRJÄNG</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58518-2025</t>
        </is>
      </c>
      <c r="B998" s="1" t="n">
        <v>45985.7062037037</v>
      </c>
      <c r="C998" s="1" t="n">
        <v>46035</v>
      </c>
      <c r="D998" t="inlineStr">
        <is>
          <t>VÄRMLANDS LÄN</t>
        </is>
      </c>
      <c r="E998" t="inlineStr">
        <is>
          <t>ÅRJÄNG</t>
        </is>
      </c>
      <c r="G998" t="n">
        <v>13</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46035</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365-2026</t>
        </is>
      </c>
      <c r="B1000" s="1" t="n">
        <v>46027.67851851852</v>
      </c>
      <c r="C1000" s="1" t="n">
        <v>46035</v>
      </c>
      <c r="D1000" t="inlineStr">
        <is>
          <t>VÄRMLANDS LÄN</t>
        </is>
      </c>
      <c r="E1000" t="inlineStr">
        <is>
          <t>ÅRJÄNG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397-2026</t>
        </is>
      </c>
      <c r="B1001" s="1" t="n">
        <v>46028.62203703704</v>
      </c>
      <c r="C1001" s="1" t="n">
        <v>46035</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58392-2025</t>
        </is>
      </c>
      <c r="B1002" s="1" t="n">
        <v>45985.55128472222</v>
      </c>
      <c r="C1002" s="1" t="n">
        <v>46035</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58578-2025</t>
        </is>
      </c>
      <c r="B1003" s="1" t="n">
        <v>45986.38496527778</v>
      </c>
      <c r="C1003" s="1" t="n">
        <v>46035</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58573-2025</t>
        </is>
      </c>
      <c r="B1004" s="1" t="n">
        <v>45986.37599537037</v>
      </c>
      <c r="C1004" s="1" t="n">
        <v>46035</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38840-2023</t>
        </is>
      </c>
      <c r="B1005" s="1" t="n">
        <v>45163.48267361111</v>
      </c>
      <c r="C1005" s="1" t="n">
        <v>46035</v>
      </c>
      <c r="D1005" t="inlineStr">
        <is>
          <t>VÄRMLANDS LÄN</t>
        </is>
      </c>
      <c r="E1005" t="inlineStr">
        <is>
          <t>ÅRJÄNG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36195-2023</t>
        </is>
      </c>
      <c r="B1006" s="1" t="n">
        <v>45149</v>
      </c>
      <c r="C1006" s="1" t="n">
        <v>46035</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58971-2025</t>
        </is>
      </c>
      <c r="B1007" s="1" t="n">
        <v>45987</v>
      </c>
      <c r="C1007" s="1" t="n">
        <v>46035</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7445-2024</t>
        </is>
      </c>
      <c r="B1008" s="1" t="n">
        <v>45345.73023148148</v>
      </c>
      <c r="C1008" s="1" t="n">
        <v>46035</v>
      </c>
      <c r="D1008" t="inlineStr">
        <is>
          <t>VÄRMLANDS LÄN</t>
        </is>
      </c>
      <c r="E1008" t="inlineStr">
        <is>
          <t>ÅRJÄNG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483-2026</t>
        </is>
      </c>
      <c r="B1009" s="1" t="n">
        <v>46029.40996527778</v>
      </c>
      <c r="C1009" s="1" t="n">
        <v>46035</v>
      </c>
      <c r="D1009" t="inlineStr">
        <is>
          <t>VÄRMLANDS LÄN</t>
        </is>
      </c>
      <c r="E1009" t="inlineStr">
        <is>
          <t>ÅRJÄNG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486-2026</t>
        </is>
      </c>
      <c r="B1010" s="1" t="n">
        <v>46029.42121527778</v>
      </c>
      <c r="C1010" s="1" t="n">
        <v>46035</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45635-2024</t>
        </is>
      </c>
      <c r="B1011" s="1" t="n">
        <v>45579</v>
      </c>
      <c r="C1011" s="1" t="n">
        <v>46035</v>
      </c>
      <c r="D1011" t="inlineStr">
        <is>
          <t>VÄRMLANDS LÄN</t>
        </is>
      </c>
      <c r="E1011" t="inlineStr">
        <is>
          <t>ÅRJÄNG</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54382-2024</t>
        </is>
      </c>
      <c r="B1012" s="1" t="n">
        <v>45617.44510416667</v>
      </c>
      <c r="C1012" s="1" t="n">
        <v>46035</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56115-2024</t>
        </is>
      </c>
      <c r="B1013" s="1" t="n">
        <v>45624.45351851852</v>
      </c>
      <c r="C1013" s="1" t="n">
        <v>46035</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56116-2024</t>
        </is>
      </c>
      <c r="B1014" s="1" t="n">
        <v>45624.45506944445</v>
      </c>
      <c r="C1014" s="1" t="n">
        <v>46035</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8625-2022</t>
        </is>
      </c>
      <c r="B1015" s="1" t="n">
        <v>44613.61064814815</v>
      </c>
      <c r="C1015" s="1" t="n">
        <v>46035</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36017-2024</t>
        </is>
      </c>
      <c r="B1016" s="1" t="n">
        <v>45533</v>
      </c>
      <c r="C1016" s="1" t="n">
        <v>46035</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57152-2024</t>
        </is>
      </c>
      <c r="B1017" s="1" t="n">
        <v>45628</v>
      </c>
      <c r="C1017" s="1" t="n">
        <v>46035</v>
      </c>
      <c r="D1017" t="inlineStr">
        <is>
          <t>VÄRMLANDS LÄN</t>
        </is>
      </c>
      <c r="E1017" t="inlineStr">
        <is>
          <t>ÅRJÄNG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57158-2024</t>
        </is>
      </c>
      <c r="B1018" s="1" t="n">
        <v>45628</v>
      </c>
      <c r="C1018" s="1" t="n">
        <v>46035</v>
      </c>
      <c r="D1018" t="inlineStr">
        <is>
          <t>VÄRMLANDS LÄN</t>
        </is>
      </c>
      <c r="E1018" t="inlineStr">
        <is>
          <t>ÅRJÄNG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55686-2024</t>
        </is>
      </c>
      <c r="B1019" s="1" t="n">
        <v>45622</v>
      </c>
      <c r="C1019" s="1" t="n">
        <v>46035</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58540-2024</t>
        </is>
      </c>
      <c r="B1020" s="1" t="n">
        <v>45635</v>
      </c>
      <c r="C1020" s="1" t="n">
        <v>46035</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449-2026</t>
        </is>
      </c>
      <c r="B1021" s="1" t="n">
        <v>46029.35167824074</v>
      </c>
      <c r="C1021" s="1" t="n">
        <v>46035</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947-2026</t>
        </is>
      </c>
      <c r="B1022" s="1" t="n">
        <v>46030.53958333333</v>
      </c>
      <c r="C1022" s="1" t="n">
        <v>46035</v>
      </c>
      <c r="D1022" t="inlineStr">
        <is>
          <t>VÄRMLANDS LÄN</t>
        </is>
      </c>
      <c r="E1022" t="inlineStr">
        <is>
          <t>ÅRJÄNG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434-2026</t>
        </is>
      </c>
      <c r="B1023" s="1" t="n">
        <v>46029.33444444444</v>
      </c>
      <c r="C1023" s="1" t="n">
        <v>46035</v>
      </c>
      <c r="D1023" t="inlineStr">
        <is>
          <t>VÄRMLANDS LÄN</t>
        </is>
      </c>
      <c r="E1023" t="inlineStr">
        <is>
          <t>ÅRJÄNG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47028-2024</t>
        </is>
      </c>
      <c r="B1024" s="1" t="n">
        <v>45586</v>
      </c>
      <c r="C1024" s="1" t="n">
        <v>46035</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37029-2024</t>
        </is>
      </c>
      <c r="B1025" s="1" t="n">
        <v>45539.38806712963</v>
      </c>
      <c r="C1025" s="1" t="n">
        <v>46035</v>
      </c>
      <c r="D1025" t="inlineStr">
        <is>
          <t>VÄRMLANDS LÄN</t>
        </is>
      </c>
      <c r="E1025" t="inlineStr">
        <is>
          <t>ÅRJÄNG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16012-2024</t>
        </is>
      </c>
      <c r="B1026" s="1" t="n">
        <v>45405.6524074074</v>
      </c>
      <c r="C1026" s="1" t="n">
        <v>46035</v>
      </c>
      <c r="D1026" t="inlineStr">
        <is>
          <t>VÄRMLANDS LÄN</t>
        </is>
      </c>
      <c r="E1026" t="inlineStr">
        <is>
          <t>ÅRJÄNG</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31794-2023</t>
        </is>
      </c>
      <c r="B1027" s="1" t="n">
        <v>45118.43856481482</v>
      </c>
      <c r="C1027" s="1" t="n">
        <v>46035</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951-2026</t>
        </is>
      </c>
      <c r="B1028" s="1" t="n">
        <v>46030.54324074074</v>
      </c>
      <c r="C1028" s="1" t="n">
        <v>46035</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57126-2024</t>
        </is>
      </c>
      <c r="B1029" s="1" t="n">
        <v>45629.37579861111</v>
      </c>
      <c r="C1029" s="1" t="n">
        <v>46035</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58270-2024</t>
        </is>
      </c>
      <c r="B1030" s="1" t="n">
        <v>45632.56928240741</v>
      </c>
      <c r="C1030" s="1" t="n">
        <v>46035</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47981-2023</t>
        </is>
      </c>
      <c r="B1031" s="1" t="n">
        <v>45198</v>
      </c>
      <c r="C1031" s="1" t="n">
        <v>46035</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20463-2024</t>
        </is>
      </c>
      <c r="B1032" s="1" t="n">
        <v>45435</v>
      </c>
      <c r="C1032" s="1" t="n">
        <v>46035</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1760-2026</t>
        </is>
      </c>
      <c r="B1033" s="1" t="n">
        <v>46030</v>
      </c>
      <c r="C1033" s="1" t="n">
        <v>46035</v>
      </c>
      <c r="D1033" t="inlineStr">
        <is>
          <t>VÄRMLANDS LÄN</t>
        </is>
      </c>
      <c r="E1033" t="inlineStr">
        <is>
          <t>ÅRJÄNG</t>
        </is>
      </c>
      <c r="F1033" t="inlineStr">
        <is>
          <t>Övriga Aktiebolag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73363-2021</t>
        </is>
      </c>
      <c r="B1034" s="1" t="n">
        <v>44550</v>
      </c>
      <c r="C1034" s="1" t="n">
        <v>46035</v>
      </c>
      <c r="D1034" t="inlineStr">
        <is>
          <t>VÄRMLANDS LÄN</t>
        </is>
      </c>
      <c r="E1034" t="inlineStr">
        <is>
          <t>ÅRJÄNG</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34205-2025</t>
        </is>
      </c>
      <c r="B1035" s="1" t="n">
        <v>45845</v>
      </c>
      <c r="C1035" s="1" t="n">
        <v>46035</v>
      </c>
      <c r="D1035" t="inlineStr">
        <is>
          <t>VÄRMLANDS LÄN</t>
        </is>
      </c>
      <c r="E1035" t="inlineStr">
        <is>
          <t>ÅRJÄNG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37122-2022</t>
        </is>
      </c>
      <c r="B1036" s="1" t="n">
        <v>44806</v>
      </c>
      <c r="C1036" s="1" t="n">
        <v>46035</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63830-2025</t>
        </is>
      </c>
      <c r="B1037" s="1" t="n">
        <v>46020</v>
      </c>
      <c r="C1037" s="1" t="n">
        <v>46035</v>
      </c>
      <c r="D1037" t="inlineStr">
        <is>
          <t>VÄRMLANDS LÄN</t>
        </is>
      </c>
      <c r="E1037" t="inlineStr">
        <is>
          <t>ÅRJÄNG</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59014-2024</t>
        </is>
      </c>
      <c r="B1038" s="1" t="n">
        <v>45636</v>
      </c>
      <c r="C1038" s="1" t="n">
        <v>46035</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1211-2026</t>
        </is>
      </c>
      <c r="B1039" s="1" t="n">
        <v>46030</v>
      </c>
      <c r="C1039" s="1" t="n">
        <v>46035</v>
      </c>
      <c r="D1039" t="inlineStr">
        <is>
          <t>VÄRMLANDS LÄN</t>
        </is>
      </c>
      <c r="E1039" t="inlineStr">
        <is>
          <t>ÅRJÄNG</t>
        </is>
      </c>
      <c r="F1039" t="inlineStr">
        <is>
          <t>Övriga Aktiebolag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1257-2026</t>
        </is>
      </c>
      <c r="B1040" s="1" t="n">
        <v>46031.44703703704</v>
      </c>
      <c r="C1040" s="1" t="n">
        <v>46035</v>
      </c>
      <c r="D1040" t="inlineStr">
        <is>
          <t>VÄRMLANDS LÄN</t>
        </is>
      </c>
      <c r="E1040" t="inlineStr">
        <is>
          <t>ÅRJÄNG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37061-2023</t>
        </is>
      </c>
      <c r="B1041" s="1" t="n">
        <v>45155</v>
      </c>
      <c r="C1041" s="1" t="n">
        <v>46035</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20028-2023</t>
        </is>
      </c>
      <c r="B1042" s="1" t="n">
        <v>45054.64534722222</v>
      </c>
      <c r="C1042" s="1" t="n">
        <v>46035</v>
      </c>
      <c r="D1042" t="inlineStr">
        <is>
          <t>VÄRMLANDS LÄN</t>
        </is>
      </c>
      <c r="E1042" t="inlineStr">
        <is>
          <t>ÅRJÄNG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1324-2026</t>
        </is>
      </c>
      <c r="B1043" s="1" t="n">
        <v>46031.5496412037</v>
      </c>
      <c r="C1043" s="1" t="n">
        <v>46035</v>
      </c>
      <c r="D1043" t="inlineStr">
        <is>
          <t>VÄRMLANDS LÄN</t>
        </is>
      </c>
      <c r="E1043" t="inlineStr">
        <is>
          <t>ÅRJÄNG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56644-2024</t>
        </is>
      </c>
      <c r="B1044" s="1" t="n">
        <v>45625</v>
      </c>
      <c r="C1044" s="1" t="n">
        <v>46035</v>
      </c>
      <c r="D1044" t="inlineStr">
        <is>
          <t>VÄRMLANDS LÄN</t>
        </is>
      </c>
      <c r="E1044" t="inlineStr">
        <is>
          <t>ÅRJÄNG</t>
        </is>
      </c>
      <c r="G1044" t="n">
        <v>12.6</v>
      </c>
      <c r="H1044" t="n">
        <v>0</v>
      </c>
      <c r="I1044" t="n">
        <v>0</v>
      </c>
      <c r="J1044" t="n">
        <v>0</v>
      </c>
      <c r="K1044" t="n">
        <v>0</v>
      </c>
      <c r="L1044" t="n">
        <v>0</v>
      </c>
      <c r="M1044" t="n">
        <v>0</v>
      </c>
      <c r="N1044" t="n">
        <v>0</v>
      </c>
      <c r="O1044" t="n">
        <v>0</v>
      </c>
      <c r="P1044" t="n">
        <v>0</v>
      </c>
      <c r="Q1044" t="n">
        <v>0</v>
      </c>
      <c r="R1044" s="2" t="inlineStr"/>
    </row>
    <row r="1045" ht="15" customHeight="1">
      <c r="A1045" t="inlineStr">
        <is>
          <t>A 40360-2024</t>
        </is>
      </c>
      <c r="B1045" s="1" t="n">
        <v>45555</v>
      </c>
      <c r="C1045" s="1" t="n">
        <v>46035</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1158-2026</t>
        </is>
      </c>
      <c r="B1046" s="1" t="n">
        <v>46031.32700231481</v>
      </c>
      <c r="C1046" s="1" t="n">
        <v>46035</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45124-2024</t>
        </is>
      </c>
      <c r="B1047" s="1" t="n">
        <v>45575</v>
      </c>
      <c r="C1047" s="1" t="n">
        <v>46035</v>
      </c>
      <c r="D1047" t="inlineStr">
        <is>
          <t>VÄRMLANDS LÄN</t>
        </is>
      </c>
      <c r="E1047" t="inlineStr">
        <is>
          <t>ÅRJÄNG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58924-2025</t>
        </is>
      </c>
      <c r="B1048" s="1" t="n">
        <v>45986</v>
      </c>
      <c r="C1048" s="1" t="n">
        <v>46035</v>
      </c>
      <c r="D1048" t="inlineStr">
        <is>
          <t>VÄRMLANDS LÄN</t>
        </is>
      </c>
      <c r="E1048" t="inlineStr">
        <is>
          <t>ÅRJÄNG</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5507-2024</t>
        </is>
      </c>
      <c r="B1049" s="1" t="n">
        <v>45334.36188657407</v>
      </c>
      <c r="C1049" s="1" t="n">
        <v>46035</v>
      </c>
      <c r="D1049" t="inlineStr">
        <is>
          <t>VÄRMLANDS LÄN</t>
        </is>
      </c>
      <c r="E1049" t="inlineStr">
        <is>
          <t>ÅRJÄNG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73623-2021</t>
        </is>
      </c>
      <c r="B1050" s="1" t="n">
        <v>44552</v>
      </c>
      <c r="C1050" s="1" t="n">
        <v>46035</v>
      </c>
      <c r="D1050" t="inlineStr">
        <is>
          <t>VÄRMLANDS LÄN</t>
        </is>
      </c>
      <c r="E1050" t="inlineStr">
        <is>
          <t>ÅRJÄNG</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19313-2023</t>
        </is>
      </c>
      <c r="B1051" s="1" t="n">
        <v>45049</v>
      </c>
      <c r="C1051" s="1" t="n">
        <v>46035</v>
      </c>
      <c r="D1051" t="inlineStr">
        <is>
          <t>VÄRMLANDS LÄN</t>
        </is>
      </c>
      <c r="E1051" t="inlineStr">
        <is>
          <t>ÅRJÄNG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1636-2026</t>
        </is>
      </c>
      <c r="B1052" s="1" t="n">
        <v>46034.49440972223</v>
      </c>
      <c r="C1052" s="1" t="n">
        <v>46035</v>
      </c>
      <c r="D1052" t="inlineStr">
        <is>
          <t>VÄRMLANDS LÄN</t>
        </is>
      </c>
      <c r="E1052" t="inlineStr">
        <is>
          <t>ÅRJÄNG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50918-2023</t>
        </is>
      </c>
      <c r="B1053" s="1" t="n">
        <v>45218.4339699074</v>
      </c>
      <c r="C1053" s="1" t="n">
        <v>46035</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56342-2024</t>
        </is>
      </c>
      <c r="B1054" s="1" t="n">
        <v>45624</v>
      </c>
      <c r="C1054" s="1" t="n">
        <v>46035</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63836-2025</t>
        </is>
      </c>
      <c r="B1055" s="1" t="n">
        <v>46020</v>
      </c>
      <c r="C1055" s="1" t="n">
        <v>46035</v>
      </c>
      <c r="D1055" t="inlineStr">
        <is>
          <t>VÄRMLANDS LÄN</t>
        </is>
      </c>
      <c r="E1055" t="inlineStr">
        <is>
          <t>ÅRJÄNG</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56347-2024</t>
        </is>
      </c>
      <c r="B1056" s="1" t="n">
        <v>45624</v>
      </c>
      <c r="C1056" s="1" t="n">
        <v>46035</v>
      </c>
      <c r="D1056" t="inlineStr">
        <is>
          <t>VÄRMLANDS LÄN</t>
        </is>
      </c>
      <c r="E1056" t="inlineStr">
        <is>
          <t>ÅRJÄNG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23945-2023</t>
        </is>
      </c>
      <c r="B1057" s="1" t="n">
        <v>45075</v>
      </c>
      <c r="C1057" s="1" t="n">
        <v>46035</v>
      </c>
      <c r="D1057" t="inlineStr">
        <is>
          <t>VÄRMLANDS LÄN</t>
        </is>
      </c>
      <c r="E1057" t="inlineStr">
        <is>
          <t>ÅRJÄNG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58435-2024</t>
        </is>
      </c>
      <c r="B1058" s="1" t="n">
        <v>45634</v>
      </c>
      <c r="C1058" s="1" t="n">
        <v>46035</v>
      </c>
      <c r="D1058" t="inlineStr">
        <is>
          <t>VÄRMLANDS LÄN</t>
        </is>
      </c>
      <c r="E1058" t="inlineStr">
        <is>
          <t>ÅRJÄNG</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32541-2023</t>
        </is>
      </c>
      <c r="B1059" s="1" t="n">
        <v>45121.39616898148</v>
      </c>
      <c r="C1059" s="1" t="n">
        <v>46035</v>
      </c>
      <c r="D1059" t="inlineStr">
        <is>
          <t>VÄRMLANDS LÄN</t>
        </is>
      </c>
      <c r="E1059" t="inlineStr">
        <is>
          <t>ÅRJÄNG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11704-2025</t>
        </is>
      </c>
      <c r="B1060" s="1" t="n">
        <v>45727.57896990741</v>
      </c>
      <c r="C1060" s="1" t="n">
        <v>46035</v>
      </c>
      <c r="D1060" t="inlineStr">
        <is>
          <t>VÄRMLANDS LÄN</t>
        </is>
      </c>
      <c r="E1060" t="inlineStr">
        <is>
          <t>ÅRJÄNG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15903-2022</t>
        </is>
      </c>
      <c r="B1061" s="1" t="n">
        <v>44664.57841435185</v>
      </c>
      <c r="C1061" s="1" t="n">
        <v>46035</v>
      </c>
      <c r="D1061" t="inlineStr">
        <is>
          <t>VÄRMLANDS LÄN</t>
        </is>
      </c>
      <c r="E1061" t="inlineStr">
        <is>
          <t>ÅRJÄNG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37765-2023</t>
        </is>
      </c>
      <c r="B1062" s="1" t="n">
        <v>45159</v>
      </c>
      <c r="C1062" s="1" t="n">
        <v>46035</v>
      </c>
      <c r="D1062" t="inlineStr">
        <is>
          <t>VÄRMLANDS LÄN</t>
        </is>
      </c>
      <c r="E1062" t="inlineStr">
        <is>
          <t>ÅRJÄNG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61226-2024</t>
        </is>
      </c>
      <c r="B1063" s="1" t="n">
        <v>45645.66853009259</v>
      </c>
      <c r="C1063" s="1" t="n">
        <v>46035</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51157-2024</t>
        </is>
      </c>
      <c r="B1064" s="1" t="n">
        <v>45603</v>
      </c>
      <c r="C1064" s="1" t="n">
        <v>46035</v>
      </c>
      <c r="D1064" t="inlineStr">
        <is>
          <t>VÄRMLANDS LÄN</t>
        </is>
      </c>
      <c r="E1064" t="inlineStr">
        <is>
          <t>ÅRJÄNG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4798-2022</t>
        </is>
      </c>
      <c r="B1065" s="1" t="n">
        <v>44592.6534375</v>
      </c>
      <c r="C1065" s="1" t="n">
        <v>46035</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60020-2024</t>
        </is>
      </c>
      <c r="B1066" s="1" t="n">
        <v>45642.44655092592</v>
      </c>
      <c r="C1066" s="1" t="n">
        <v>46035</v>
      </c>
      <c r="D1066" t="inlineStr">
        <is>
          <t>VÄRMLANDS LÄN</t>
        </is>
      </c>
      <c r="E1066" t="inlineStr">
        <is>
          <t>ÅRJÄNG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20674-2023</t>
        </is>
      </c>
      <c r="B1067" s="1" t="n">
        <v>45058</v>
      </c>
      <c r="C1067" s="1" t="n">
        <v>46035</v>
      </c>
      <c r="D1067" t="inlineStr">
        <is>
          <t>VÄRMLANDS LÄN</t>
        </is>
      </c>
      <c r="E1067" t="inlineStr">
        <is>
          <t>ÅRJÄNG</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39096-2023</t>
        </is>
      </c>
      <c r="B1068" s="1" t="n">
        <v>45164.55570601852</v>
      </c>
      <c r="C1068" s="1" t="n">
        <v>46035</v>
      </c>
      <c r="D1068" t="inlineStr">
        <is>
          <t>VÄRMLANDS LÄN</t>
        </is>
      </c>
      <c r="E1068" t="inlineStr">
        <is>
          <t>ÅRJÄNG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23878-2023</t>
        </is>
      </c>
      <c r="B1069" s="1" t="n">
        <v>45078</v>
      </c>
      <c r="C1069" s="1" t="n">
        <v>46035</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39178-2023</t>
        </is>
      </c>
      <c r="B1070" s="1" t="n">
        <v>45166.38395833333</v>
      </c>
      <c r="C1070" s="1" t="n">
        <v>46035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5332-2025</t>
        </is>
      </c>
      <c r="B1071" s="1" t="n">
        <v>45692.53978009259</v>
      </c>
      <c r="C1071" s="1" t="n">
        <v>46035</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52574-2024</t>
        </is>
      </c>
      <c r="B1072" s="1" t="n">
        <v>45609</v>
      </c>
      <c r="C1072" s="1" t="n">
        <v>46035</v>
      </c>
      <c r="D1072" t="inlineStr">
        <is>
          <t>VÄRMLANDS LÄN</t>
        </is>
      </c>
      <c r="E1072" t="inlineStr">
        <is>
          <t>ÅRJÄNG</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3656-2022</t>
        </is>
      </c>
      <c r="B1073" s="1" t="n">
        <v>44586</v>
      </c>
      <c r="C1073" s="1" t="n">
        <v>46035</v>
      </c>
      <c r="D1073" t="inlineStr">
        <is>
          <t>VÄRMLANDS LÄN</t>
        </is>
      </c>
      <c r="E1073" t="inlineStr">
        <is>
          <t>ÅRJÄNG</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11392-2024</t>
        </is>
      </c>
      <c r="B1074" s="1" t="n">
        <v>45372</v>
      </c>
      <c r="C1074" s="1" t="n">
        <v>46035</v>
      </c>
      <c r="D1074" t="inlineStr">
        <is>
          <t>VÄRMLANDS LÄN</t>
        </is>
      </c>
      <c r="E1074" t="inlineStr">
        <is>
          <t>ÅRJÄNG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70461-2021</t>
        </is>
      </c>
      <c r="B1075" s="1" t="n">
        <v>44536</v>
      </c>
      <c r="C1075" s="1" t="n">
        <v>46035</v>
      </c>
      <c r="D1075" t="inlineStr">
        <is>
          <t>VÄRMLANDS LÄN</t>
        </is>
      </c>
      <c r="E1075" t="inlineStr">
        <is>
          <t>ÅRJÄNG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38707-2023</t>
        </is>
      </c>
      <c r="B1076" s="1" t="n">
        <v>45163.34018518519</v>
      </c>
      <c r="C1076" s="1" t="n">
        <v>46035</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45643-2023</t>
        </is>
      </c>
      <c r="B1077" s="1" t="n">
        <v>45194.69827546296</v>
      </c>
      <c r="C1077" s="1" t="n">
        <v>46035</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55071-2024</t>
        </is>
      </c>
      <c r="B1078" s="1" t="n">
        <v>45621.41861111111</v>
      </c>
      <c r="C1078" s="1" t="n">
        <v>46035</v>
      </c>
      <c r="D1078" t="inlineStr">
        <is>
          <t>VÄRMLANDS LÄN</t>
        </is>
      </c>
      <c r="E1078" t="inlineStr">
        <is>
          <t>ÅRJÄNG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52579-2024</t>
        </is>
      </c>
      <c r="B1079" s="1" t="n">
        <v>45609</v>
      </c>
      <c r="C1079" s="1" t="n">
        <v>46035</v>
      </c>
      <c r="D1079" t="inlineStr">
        <is>
          <t>VÄRMLANDS LÄN</t>
        </is>
      </c>
      <c r="E1079" t="inlineStr">
        <is>
          <t>ÅRJÄNG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44556-2023</t>
        </is>
      </c>
      <c r="B1080" s="1" t="n">
        <v>45189.53738425926</v>
      </c>
      <c r="C1080" s="1" t="n">
        <v>46035</v>
      </c>
      <c r="D1080" t="inlineStr">
        <is>
          <t>VÄRMLANDS LÄN</t>
        </is>
      </c>
      <c r="E1080" t="inlineStr">
        <is>
          <t>ÅRJÄNG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53742-2024</t>
        </is>
      </c>
      <c r="B1081" s="1" t="n">
        <v>45615.47130787037</v>
      </c>
      <c r="C1081" s="1" t="n">
        <v>46035</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56769-2024</t>
        </is>
      </c>
      <c r="B1082" s="1" t="n">
        <v>45628.41550925926</v>
      </c>
      <c r="C1082" s="1" t="n">
        <v>46035</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4582-2025</t>
        </is>
      </c>
      <c r="B1083" s="1" t="n">
        <v>45687</v>
      </c>
      <c r="C1083" s="1" t="n">
        <v>46035</v>
      </c>
      <c r="D1083" t="inlineStr">
        <is>
          <t>VÄRMLANDS LÄN</t>
        </is>
      </c>
      <c r="E1083" t="inlineStr">
        <is>
          <t>ÅRJÄNG</t>
        </is>
      </c>
      <c r="F1083" t="inlineStr">
        <is>
          <t>Övriga Aktiebolag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44004-2023</t>
        </is>
      </c>
      <c r="B1084" s="1" t="n">
        <v>45188.30134259259</v>
      </c>
      <c r="C1084" s="1" t="n">
        <v>46035</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44007-2023</t>
        </is>
      </c>
      <c r="B1085" s="1" t="n">
        <v>45188.31231481482</v>
      </c>
      <c r="C1085" s="1" t="n">
        <v>46035</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5741-2025</t>
        </is>
      </c>
      <c r="B1086" s="1" t="n">
        <v>45694.52100694444</v>
      </c>
      <c r="C1086" s="1" t="n">
        <v>46035</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283-2025</t>
        </is>
      </c>
      <c r="B1087" s="1" t="n">
        <v>45656</v>
      </c>
      <c r="C1087" s="1" t="n">
        <v>46035</v>
      </c>
      <c r="D1087" t="inlineStr">
        <is>
          <t>VÄRMLANDS LÄN</t>
        </is>
      </c>
      <c r="E1087" t="inlineStr">
        <is>
          <t>ÅRJÄNG</t>
        </is>
      </c>
      <c r="F1087" t="inlineStr">
        <is>
          <t>Övriga Aktiebolag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5127-2025</t>
        </is>
      </c>
      <c r="B1088" s="1" t="n">
        <v>45691.56623842593</v>
      </c>
      <c r="C1088" s="1" t="n">
        <v>46035</v>
      </c>
      <c r="D1088" t="inlineStr">
        <is>
          <t>VÄRMLANDS LÄN</t>
        </is>
      </c>
      <c r="E1088" t="inlineStr">
        <is>
          <t>ÅRJÄNG</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55422-2023</t>
        </is>
      </c>
      <c r="B1089" s="1" t="n">
        <v>45238.41858796297</v>
      </c>
      <c r="C1089" s="1" t="n">
        <v>46035</v>
      </c>
      <c r="D1089" t="inlineStr">
        <is>
          <t>VÄRMLANDS LÄN</t>
        </is>
      </c>
      <c r="E1089" t="inlineStr">
        <is>
          <t>ÅRJÄNG</t>
        </is>
      </c>
      <c r="F1089" t="inlineStr">
        <is>
          <t>Kyrkan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8601-2022</t>
        </is>
      </c>
      <c r="B1090" s="1" t="n">
        <v>44613.57193287037</v>
      </c>
      <c r="C1090" s="1" t="n">
        <v>46035</v>
      </c>
      <c r="D1090" t="inlineStr">
        <is>
          <t>VÄRMLANDS LÄN</t>
        </is>
      </c>
      <c r="E1090" t="inlineStr">
        <is>
          <t>ÅRJÄNG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56060-2023</t>
        </is>
      </c>
      <c r="B1091" s="1" t="n">
        <v>45233</v>
      </c>
      <c r="C1091" s="1" t="n">
        <v>46035</v>
      </c>
      <c r="D1091" t="inlineStr">
        <is>
          <t>VÄRMLANDS LÄN</t>
        </is>
      </c>
      <c r="E1091" t="inlineStr">
        <is>
          <t>ÅRJÄNG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56655-2024</t>
        </is>
      </c>
      <c r="B1092" s="1" t="n">
        <v>45625</v>
      </c>
      <c r="C1092" s="1" t="n">
        <v>46035</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27240-2023</t>
        </is>
      </c>
      <c r="B1093" s="1" t="n">
        <v>45096</v>
      </c>
      <c r="C1093" s="1" t="n">
        <v>46035</v>
      </c>
      <c r="D1093" t="inlineStr">
        <is>
          <t>VÄRMLANDS LÄN</t>
        </is>
      </c>
      <c r="E1093" t="inlineStr">
        <is>
          <t>ÅRJÄNG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12137-2025</t>
        </is>
      </c>
      <c r="B1094" s="1" t="n">
        <v>45729.39879629629</v>
      </c>
      <c r="C1094" s="1" t="n">
        <v>46035</v>
      </c>
      <c r="D1094" t="inlineStr">
        <is>
          <t>VÄRMLANDS LÄN</t>
        </is>
      </c>
      <c r="E1094" t="inlineStr">
        <is>
          <t>ÅRJÄNG</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46351-2023</t>
        </is>
      </c>
      <c r="B1095" s="1" t="n">
        <v>45197.42811342593</v>
      </c>
      <c r="C1095" s="1" t="n">
        <v>46035</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17361-2022</t>
        </is>
      </c>
      <c r="B1096" s="1" t="n">
        <v>44678.6044675926</v>
      </c>
      <c r="C1096" s="1" t="n">
        <v>46035</v>
      </c>
      <c r="D1096" t="inlineStr">
        <is>
          <t>VÄRMLANDS LÄN</t>
        </is>
      </c>
      <c r="E1096" t="inlineStr">
        <is>
          <t>ÅRJÄNG</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57546-2024</t>
        </is>
      </c>
      <c r="B1097" s="1" t="n">
        <v>45629</v>
      </c>
      <c r="C1097" s="1" t="n">
        <v>46035</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9427-2025</t>
        </is>
      </c>
      <c r="B1098" s="1" t="n">
        <v>45715</v>
      </c>
      <c r="C1098" s="1" t="n">
        <v>46035</v>
      </c>
      <c r="D1098" t="inlineStr">
        <is>
          <t>VÄRMLANDS LÄN</t>
        </is>
      </c>
      <c r="E1098" t="inlineStr">
        <is>
          <t>ÅRJÄNG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57306-2023</t>
        </is>
      </c>
      <c r="B1099" s="1" t="n">
        <v>45245.62431712963</v>
      </c>
      <c r="C1099" s="1" t="n">
        <v>46035</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48357-2023</t>
        </is>
      </c>
      <c r="B1100" s="1" t="n">
        <v>45202</v>
      </c>
      <c r="C1100" s="1" t="n">
        <v>46035</v>
      </c>
      <c r="D1100" t="inlineStr">
        <is>
          <t>VÄRMLANDS LÄN</t>
        </is>
      </c>
      <c r="E1100" t="inlineStr">
        <is>
          <t>ÅRJÄNG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39434-2023</t>
        </is>
      </c>
      <c r="B1101" s="1" t="n">
        <v>45166.69690972222</v>
      </c>
      <c r="C1101" s="1" t="n">
        <v>46035</v>
      </c>
      <c r="D1101" t="inlineStr">
        <is>
          <t>VÄRMLANDS LÄN</t>
        </is>
      </c>
      <c r="E1101" t="inlineStr">
        <is>
          <t>ÅRJÄNG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236-2025</t>
        </is>
      </c>
      <c r="B1102" s="1" t="n">
        <v>45653</v>
      </c>
      <c r="C1102" s="1" t="n">
        <v>46035</v>
      </c>
      <c r="D1102" t="inlineStr">
        <is>
          <t>VÄRMLANDS LÄN</t>
        </is>
      </c>
      <c r="E1102" t="inlineStr">
        <is>
          <t>ÅRJÄNG</t>
        </is>
      </c>
      <c r="F1102" t="inlineStr">
        <is>
          <t>Övriga Aktiebolag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1602-2025</t>
        </is>
      </c>
      <c r="B1103" s="1" t="n">
        <v>45670.59069444444</v>
      </c>
      <c r="C1103" s="1" t="n">
        <v>46035</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43253-2023</t>
        </is>
      </c>
      <c r="B1104" s="1" t="n">
        <v>45183.49578703703</v>
      </c>
      <c r="C1104" s="1" t="n">
        <v>46035</v>
      </c>
      <c r="D1104" t="inlineStr">
        <is>
          <t>VÄRMLANDS LÄN</t>
        </is>
      </c>
      <c r="E1104" t="inlineStr">
        <is>
          <t>ÅRJÄNG</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17827-2025</t>
        </is>
      </c>
      <c r="B1105" s="1" t="n">
        <v>45758.57596064815</v>
      </c>
      <c r="C1105" s="1" t="n">
        <v>46035</v>
      </c>
      <c r="D1105" t="inlineStr">
        <is>
          <t>VÄRMLANDS LÄN</t>
        </is>
      </c>
      <c r="E1105" t="inlineStr">
        <is>
          <t>ÅRJÄNG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19920-2024</t>
        </is>
      </c>
      <c r="B1106" s="1" t="n">
        <v>45433.58947916667</v>
      </c>
      <c r="C1106" s="1" t="n">
        <v>46035</v>
      </c>
      <c r="D1106" t="inlineStr">
        <is>
          <t>VÄRMLANDS LÄN</t>
        </is>
      </c>
      <c r="E1106" t="inlineStr">
        <is>
          <t>ÅRJÄNG</t>
        </is>
      </c>
      <c r="F1106" t="inlineStr">
        <is>
          <t>Bergvik skog väst AB</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32095-2024</t>
        </is>
      </c>
      <c r="B1107" s="1" t="n">
        <v>45511.39107638889</v>
      </c>
      <c r="C1107" s="1" t="n">
        <v>46035</v>
      </c>
      <c r="D1107" t="inlineStr">
        <is>
          <t>VÄRMLANDS LÄN</t>
        </is>
      </c>
      <c r="E1107" t="inlineStr">
        <is>
          <t>ÅRJÄNG</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301-2025</t>
        </is>
      </c>
      <c r="B1108" s="1" t="n">
        <v>45660.56</v>
      </c>
      <c r="C1108" s="1" t="n">
        <v>46035</v>
      </c>
      <c r="D1108" t="inlineStr">
        <is>
          <t>VÄRMLANDS LÄN</t>
        </is>
      </c>
      <c r="E1108" t="inlineStr">
        <is>
          <t>ÅRJÄNG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14434-2025</t>
        </is>
      </c>
      <c r="B1109" s="1" t="n">
        <v>45741</v>
      </c>
      <c r="C1109" s="1" t="n">
        <v>46035</v>
      </c>
      <c r="D1109" t="inlineStr">
        <is>
          <t>VÄRMLANDS LÄN</t>
        </is>
      </c>
      <c r="E1109" t="inlineStr">
        <is>
          <t>ÅRJÄNG</t>
        </is>
      </c>
      <c r="F1109" t="inlineStr">
        <is>
          <t>Övriga Aktiebolag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19248-2025</t>
        </is>
      </c>
      <c r="B1110" s="1" t="n">
        <v>45769.48710648148</v>
      </c>
      <c r="C1110" s="1" t="n">
        <v>46035</v>
      </c>
      <c r="D1110" t="inlineStr">
        <is>
          <t>VÄRMLANDS LÄN</t>
        </is>
      </c>
      <c r="E1110" t="inlineStr">
        <is>
          <t>ÅRJÄNG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6109-2025</t>
        </is>
      </c>
      <c r="B1111" s="1" t="n">
        <v>45698.31012731481</v>
      </c>
      <c r="C1111" s="1" t="n">
        <v>46035</v>
      </c>
      <c r="D1111" t="inlineStr">
        <is>
          <t>VÄRMLANDS LÄN</t>
        </is>
      </c>
      <c r="E1111" t="inlineStr">
        <is>
          <t>ÅRJÄNG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21443-2022</t>
        </is>
      </c>
      <c r="B1112" s="1" t="n">
        <v>44706.35293981482</v>
      </c>
      <c r="C1112" s="1" t="n">
        <v>46035</v>
      </c>
      <c r="D1112" t="inlineStr">
        <is>
          <t>VÄRMLANDS LÄN</t>
        </is>
      </c>
      <c r="E1112" t="inlineStr">
        <is>
          <t>ÅRJÄNG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48203-2023</t>
        </is>
      </c>
      <c r="B1113" s="1" t="n">
        <v>45200</v>
      </c>
      <c r="C1113" s="1" t="n">
        <v>46035</v>
      </c>
      <c r="D1113" t="inlineStr">
        <is>
          <t>VÄRMLANDS LÄN</t>
        </is>
      </c>
      <c r="E1113" t="inlineStr">
        <is>
          <t>ÅRJÄNG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42667-2023</t>
        </is>
      </c>
      <c r="B1114" s="1" t="n">
        <v>45176</v>
      </c>
      <c r="C1114" s="1" t="n">
        <v>46035</v>
      </c>
      <c r="D1114" t="inlineStr">
        <is>
          <t>VÄRMLANDS LÄN</t>
        </is>
      </c>
      <c r="E1114" t="inlineStr">
        <is>
          <t>ÅRJÄNG</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13504-2025</t>
        </is>
      </c>
      <c r="B1115" s="1" t="n">
        <v>45736.46400462963</v>
      </c>
      <c r="C1115" s="1" t="n">
        <v>46035</v>
      </c>
      <c r="D1115" t="inlineStr">
        <is>
          <t>VÄRMLANDS LÄN</t>
        </is>
      </c>
      <c r="E1115" t="inlineStr">
        <is>
          <t>ÅRJÄNG</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16519-2025</t>
        </is>
      </c>
      <c r="B1116" s="1" t="n">
        <v>45751</v>
      </c>
      <c r="C1116" s="1" t="n">
        <v>46035</v>
      </c>
      <c r="D1116" t="inlineStr">
        <is>
          <t>VÄRMLANDS LÄN</t>
        </is>
      </c>
      <c r="E1116" t="inlineStr">
        <is>
          <t>ÅRJÄNG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53554-2023</t>
        </is>
      </c>
      <c r="B1117" s="1" t="n">
        <v>45230</v>
      </c>
      <c r="C1117" s="1" t="n">
        <v>46035</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55574-2023</t>
        </is>
      </c>
      <c r="B1118" s="1" t="n">
        <v>45232</v>
      </c>
      <c r="C1118" s="1" t="n">
        <v>46035</v>
      </c>
      <c r="D1118" t="inlineStr">
        <is>
          <t>VÄRMLANDS LÄN</t>
        </is>
      </c>
      <c r="E1118" t="inlineStr">
        <is>
          <t>ÅRJÄNG</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3729-2025</t>
        </is>
      </c>
      <c r="B1119" s="1" t="n">
        <v>45681.5497800926</v>
      </c>
      <c r="C1119" s="1" t="n">
        <v>46035</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60207-2023</t>
        </is>
      </c>
      <c r="B1120" s="1" t="n">
        <v>45257</v>
      </c>
      <c r="C1120" s="1" t="n">
        <v>46035</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58434-2023</t>
        </is>
      </c>
      <c r="B1121" s="1" t="n">
        <v>45250</v>
      </c>
      <c r="C1121" s="1" t="n">
        <v>46035</v>
      </c>
      <c r="D1121" t="inlineStr">
        <is>
          <t>VÄRMLANDS LÄN</t>
        </is>
      </c>
      <c r="E1121" t="inlineStr">
        <is>
          <t>ÅRJÄNG</t>
        </is>
      </c>
      <c r="F1121" t="inlineStr">
        <is>
          <t>Naturvårdsverket</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8356-2025</t>
        </is>
      </c>
      <c r="B1122" s="1" t="n">
        <v>45708.79752314815</v>
      </c>
      <c r="C1122" s="1" t="n">
        <v>46035</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18256-2024</t>
        </is>
      </c>
      <c r="B1123" s="1" t="n">
        <v>45421.52498842592</v>
      </c>
      <c r="C1123" s="1" t="n">
        <v>46035</v>
      </c>
      <c r="D1123" t="inlineStr">
        <is>
          <t>VÄRMLANDS LÄN</t>
        </is>
      </c>
      <c r="E1123" t="inlineStr">
        <is>
          <t>ÅRJÄNG</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24477-2022</t>
        </is>
      </c>
      <c r="B1124" s="1" t="n">
        <v>44726.65575231481</v>
      </c>
      <c r="C1124" s="1" t="n">
        <v>46035</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33525-2023</t>
        </is>
      </c>
      <c r="B1125" s="1" t="n">
        <v>45131.51326388889</v>
      </c>
      <c r="C1125" s="1" t="n">
        <v>46035</v>
      </c>
      <c r="D1125" t="inlineStr">
        <is>
          <t>VÄRMLANDS LÄN</t>
        </is>
      </c>
      <c r="E1125" t="inlineStr">
        <is>
          <t>ÅRJÄNG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46441-2023</t>
        </is>
      </c>
      <c r="B1126" s="1" t="n">
        <v>45197</v>
      </c>
      <c r="C1126" s="1" t="n">
        <v>46035</v>
      </c>
      <c r="D1126" t="inlineStr">
        <is>
          <t>VÄRMLANDS LÄN</t>
        </is>
      </c>
      <c r="E1126" t="inlineStr">
        <is>
          <t>ÅRJÄNG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59352-2022</t>
        </is>
      </c>
      <c r="B1127" s="1" t="n">
        <v>44904.7077199074</v>
      </c>
      <c r="C1127" s="1" t="n">
        <v>46035</v>
      </c>
      <c r="D1127" t="inlineStr">
        <is>
          <t>VÄRMLANDS LÄN</t>
        </is>
      </c>
      <c r="E1127" t="inlineStr">
        <is>
          <t>ÅRJÄNG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1115-2024</t>
        </is>
      </c>
      <c r="B1128" s="1" t="n">
        <v>45302</v>
      </c>
      <c r="C1128" s="1" t="n">
        <v>46035</v>
      </c>
      <c r="D1128" t="inlineStr">
        <is>
          <t>VÄRMLANDS LÄN</t>
        </is>
      </c>
      <c r="E1128" t="inlineStr">
        <is>
          <t>ÅRJÄNG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48453-2023</t>
        </is>
      </c>
      <c r="B1129" s="1" t="n">
        <v>45206.4346412037</v>
      </c>
      <c r="C1129" s="1" t="n">
        <v>46035</v>
      </c>
      <c r="D1129" t="inlineStr">
        <is>
          <t>VÄRMLANDS LÄN</t>
        </is>
      </c>
      <c r="E1129" t="inlineStr">
        <is>
          <t>ÅRJÄNG</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59784-2023</t>
        </is>
      </c>
      <c r="B1130" s="1" t="n">
        <v>45257</v>
      </c>
      <c r="C1130" s="1" t="n">
        <v>46035</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59801-2023</t>
        </is>
      </c>
      <c r="B1131" s="1" t="n">
        <v>45254</v>
      </c>
      <c r="C1131" s="1" t="n">
        <v>46035</v>
      </c>
      <c r="D1131" t="inlineStr">
        <is>
          <t>VÄRMLANDS LÄN</t>
        </is>
      </c>
      <c r="E1131" t="inlineStr">
        <is>
          <t>ÅRJÄNG</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27311-2022</t>
        </is>
      </c>
      <c r="B1132" s="1" t="n">
        <v>44728</v>
      </c>
      <c r="C1132" s="1" t="n">
        <v>46035</v>
      </c>
      <c r="D1132" t="inlineStr">
        <is>
          <t>VÄRMLANDS LÄN</t>
        </is>
      </c>
      <c r="E1132" t="inlineStr">
        <is>
          <t>ÅRJÄNG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15954-2025</t>
        </is>
      </c>
      <c r="B1133" s="1" t="n">
        <v>45749</v>
      </c>
      <c r="C1133" s="1" t="n">
        <v>46035</v>
      </c>
      <c r="D1133" t="inlineStr">
        <is>
          <t>VÄRMLANDS LÄN</t>
        </is>
      </c>
      <c r="E1133" t="inlineStr">
        <is>
          <t>ÅRJÄNG</t>
        </is>
      </c>
      <c r="F1133" t="inlineStr">
        <is>
          <t>Bergvik skog väst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687-2024</t>
        </is>
      </c>
      <c r="B1134" s="1" t="n">
        <v>45300.37333333334</v>
      </c>
      <c r="C1134" s="1" t="n">
        <v>46035</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713-2024</t>
        </is>
      </c>
      <c r="B1135" s="1" t="n">
        <v>45300.4261574074</v>
      </c>
      <c r="C1135" s="1" t="n">
        <v>46035</v>
      </c>
      <c r="D1135" t="inlineStr">
        <is>
          <t>VÄRMLANDS LÄN</t>
        </is>
      </c>
      <c r="E1135" t="inlineStr">
        <is>
          <t>ÅRJÄNG</t>
        </is>
      </c>
      <c r="F1135" t="inlineStr">
        <is>
          <t>Kyrkan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8835-2025</t>
        </is>
      </c>
      <c r="B1136" s="1" t="n">
        <v>45712.92547453703</v>
      </c>
      <c r="C1136" s="1" t="n">
        <v>46035</v>
      </c>
      <c r="D1136" t="inlineStr">
        <is>
          <t>VÄRMLANDS LÄN</t>
        </is>
      </c>
      <c r="E1136" t="inlineStr">
        <is>
          <t>ÅRJÄNG</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62288-2023</t>
        </is>
      </c>
      <c r="B1137" s="1" t="n">
        <v>45267.65707175926</v>
      </c>
      <c r="C1137" s="1" t="n">
        <v>46035</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18389-2022</t>
        </is>
      </c>
      <c r="B1138" s="1" t="n">
        <v>44685</v>
      </c>
      <c r="C1138" s="1" t="n">
        <v>46035</v>
      </c>
      <c r="D1138" t="inlineStr">
        <is>
          <t>VÄRMLANDS LÄN</t>
        </is>
      </c>
      <c r="E1138" t="inlineStr">
        <is>
          <t>ÅRJÄNG</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12993-2025</t>
        </is>
      </c>
      <c r="B1139" s="1" t="n">
        <v>45734.48583333333</v>
      </c>
      <c r="C1139" s="1" t="n">
        <v>46035</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9630-2025</t>
        </is>
      </c>
      <c r="B1140" s="1" t="n">
        <v>45715.71145833333</v>
      </c>
      <c r="C1140" s="1" t="n">
        <v>46035</v>
      </c>
      <c r="D1140" t="inlineStr">
        <is>
          <t>VÄRMLANDS LÄN</t>
        </is>
      </c>
      <c r="E1140" t="inlineStr">
        <is>
          <t>ÅRJÄNG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14446-2025</t>
        </is>
      </c>
      <c r="B1141" s="1" t="n">
        <v>45741.53552083333</v>
      </c>
      <c r="C1141" s="1" t="n">
        <v>46035</v>
      </c>
      <c r="D1141" t="inlineStr">
        <is>
          <t>VÄRMLANDS LÄN</t>
        </is>
      </c>
      <c r="E1141" t="inlineStr">
        <is>
          <t>ÅRJÄNG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8833-2025</t>
        </is>
      </c>
      <c r="B1142" s="1" t="n">
        <v>45712.91263888889</v>
      </c>
      <c r="C1142" s="1" t="n">
        <v>46035</v>
      </c>
      <c r="D1142" t="inlineStr">
        <is>
          <t>VÄRMLANDS LÄN</t>
        </is>
      </c>
      <c r="E1142" t="inlineStr">
        <is>
          <t>ÅRJÄNG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26265-2024</t>
        </is>
      </c>
      <c r="B1143" s="1" t="n">
        <v>45468</v>
      </c>
      <c r="C1143" s="1" t="n">
        <v>46035</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64381-2023</t>
        </is>
      </c>
      <c r="B1144" s="1" t="n">
        <v>45280</v>
      </c>
      <c r="C1144" s="1" t="n">
        <v>46035</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4545-2024</t>
        </is>
      </c>
      <c r="B1145" s="1" t="n">
        <v>45327</v>
      </c>
      <c r="C1145" s="1" t="n">
        <v>46035</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47332-2022</t>
        </is>
      </c>
      <c r="B1146" s="1" t="n">
        <v>44853</v>
      </c>
      <c r="C1146" s="1" t="n">
        <v>46035</v>
      </c>
      <c r="D1146" t="inlineStr">
        <is>
          <t>VÄRMLANDS LÄN</t>
        </is>
      </c>
      <c r="E1146" t="inlineStr">
        <is>
          <t>ÅRJÄNG</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21145-2022</t>
        </is>
      </c>
      <c r="B1147" s="1" t="n">
        <v>44704</v>
      </c>
      <c r="C1147" s="1" t="n">
        <v>46035</v>
      </c>
      <c r="D1147" t="inlineStr">
        <is>
          <t>VÄRMLANDS LÄN</t>
        </is>
      </c>
      <c r="E1147" t="inlineStr">
        <is>
          <t>ÅRJÄNG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48389-2021</t>
        </is>
      </c>
      <c r="B1148" s="1" t="n">
        <v>44452.26943287037</v>
      </c>
      <c r="C1148" s="1" t="n">
        <v>46035</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9662-2024</t>
        </is>
      </c>
      <c r="B1149" s="1" t="n">
        <v>45362.43423611111</v>
      </c>
      <c r="C1149" s="1" t="n">
        <v>46035</v>
      </c>
      <c r="D1149" t="inlineStr">
        <is>
          <t>VÄRMLANDS LÄN</t>
        </is>
      </c>
      <c r="E1149" t="inlineStr">
        <is>
          <t>ÅRJÄNG</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7794-2024</t>
        </is>
      </c>
      <c r="B1150" s="1" t="n">
        <v>45349</v>
      </c>
      <c r="C1150" s="1" t="n">
        <v>46035</v>
      </c>
      <c r="D1150" t="inlineStr">
        <is>
          <t>VÄRMLANDS LÄN</t>
        </is>
      </c>
      <c r="E1150" t="inlineStr">
        <is>
          <t>ÅRJÄNG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46096-2021</t>
        </is>
      </c>
      <c r="B1151" s="1" t="n">
        <v>44442</v>
      </c>
      <c r="C1151" s="1" t="n">
        <v>46035</v>
      </c>
      <c r="D1151" t="inlineStr">
        <is>
          <t>VÄRMLANDS LÄN</t>
        </is>
      </c>
      <c r="E1151" t="inlineStr">
        <is>
          <t>ÅRJÄNG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10338-2024</t>
        </is>
      </c>
      <c r="B1152" s="1" t="n">
        <v>45365.58712962963</v>
      </c>
      <c r="C1152" s="1" t="n">
        <v>46035</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51895-2022</t>
        </is>
      </c>
      <c r="B1153" s="1" t="n">
        <v>44872.61237268519</v>
      </c>
      <c r="C1153" s="1" t="n">
        <v>46035</v>
      </c>
      <c r="D1153" t="inlineStr">
        <is>
          <t>VÄRMLANDS LÄN</t>
        </is>
      </c>
      <c r="E1153" t="inlineStr">
        <is>
          <t>ÅRJÄNG</t>
        </is>
      </c>
      <c r="F1153" t="inlineStr">
        <is>
          <t>Kyrkan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13647-2025</t>
        </is>
      </c>
      <c r="B1154" s="1" t="n">
        <v>45736.69149305556</v>
      </c>
      <c r="C1154" s="1" t="n">
        <v>46035</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5256-2023</t>
        </is>
      </c>
      <c r="B1155" s="1" t="n">
        <v>44959.45520833333</v>
      </c>
      <c r="C1155" s="1" t="n">
        <v>46035</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59624-2022</t>
        </is>
      </c>
      <c r="B1156" s="1" t="n">
        <v>44907.90521990741</v>
      </c>
      <c r="C1156" s="1" t="n">
        <v>46035</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64229-2023</t>
        </is>
      </c>
      <c r="B1157" s="1" t="n">
        <v>45279</v>
      </c>
      <c r="C1157" s="1" t="n">
        <v>46035</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7443-2024</t>
        </is>
      </c>
      <c r="B1158" s="1" t="n">
        <v>45345.72207175926</v>
      </c>
      <c r="C1158" s="1" t="n">
        <v>46035</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58486-2023</t>
        </is>
      </c>
      <c r="B1159" s="1" t="n">
        <v>45246</v>
      </c>
      <c r="C1159" s="1" t="n">
        <v>46035</v>
      </c>
      <c r="D1159" t="inlineStr">
        <is>
          <t>VÄRMLANDS LÄN</t>
        </is>
      </c>
      <c r="E1159" t="inlineStr">
        <is>
          <t>ÅRJÄNG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36587-2024</t>
        </is>
      </c>
      <c r="B1160" s="1" t="n">
        <v>45537</v>
      </c>
      <c r="C1160" s="1" t="n">
        <v>46035</v>
      </c>
      <c r="D1160" t="inlineStr">
        <is>
          <t>VÄRMLANDS LÄN</t>
        </is>
      </c>
      <c r="E1160" t="inlineStr">
        <is>
          <t>ÅRJÄNG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23971-2023</t>
        </is>
      </c>
      <c r="B1161" s="1" t="n">
        <v>45078.63996527778</v>
      </c>
      <c r="C1161" s="1" t="n">
        <v>46035</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57708-2024</t>
        </is>
      </c>
      <c r="B1162" s="1" t="n">
        <v>45630</v>
      </c>
      <c r="C1162" s="1" t="n">
        <v>46035</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15547-2025</t>
        </is>
      </c>
      <c r="B1163" s="1" t="n">
        <v>45747</v>
      </c>
      <c r="C1163" s="1" t="n">
        <v>46035</v>
      </c>
      <c r="D1163" t="inlineStr">
        <is>
          <t>VÄRMLANDS LÄN</t>
        </is>
      </c>
      <c r="E1163" t="inlineStr">
        <is>
          <t>ÅRJÄNG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15548-2025</t>
        </is>
      </c>
      <c r="B1164" s="1" t="n">
        <v>45747</v>
      </c>
      <c r="C1164" s="1" t="n">
        <v>46035</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6107-2024</t>
        </is>
      </c>
      <c r="B1165" s="1" t="n">
        <v>45337</v>
      </c>
      <c r="C1165" s="1" t="n">
        <v>46035</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54013-2023</t>
        </is>
      </c>
      <c r="B1166" s="1" t="n">
        <v>45231.81550925926</v>
      </c>
      <c r="C1166" s="1" t="n">
        <v>46035</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15308-2022</t>
        </is>
      </c>
      <c r="B1167" s="1" t="n">
        <v>44659.45865740741</v>
      </c>
      <c r="C1167" s="1" t="n">
        <v>46035</v>
      </c>
      <c r="D1167" t="inlineStr">
        <is>
          <t>VÄRMLANDS LÄN</t>
        </is>
      </c>
      <c r="E1167" t="inlineStr">
        <is>
          <t>ÅRJÄNG</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7114-2023</t>
        </is>
      </c>
      <c r="B1168" s="1" t="n">
        <v>44970.39068287037</v>
      </c>
      <c r="C1168" s="1" t="n">
        <v>46035</v>
      </c>
      <c r="D1168" t="inlineStr">
        <is>
          <t>VÄRMLANDS LÄN</t>
        </is>
      </c>
      <c r="E1168" t="inlineStr">
        <is>
          <t>ÅRJÄNG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59976-2022</t>
        </is>
      </c>
      <c r="B1169" s="1" t="n">
        <v>44901</v>
      </c>
      <c r="C1169" s="1" t="n">
        <v>46035</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3298-2025</t>
        </is>
      </c>
      <c r="B1170" s="1" t="n">
        <v>45679.64770833333</v>
      </c>
      <c r="C1170" s="1" t="n">
        <v>46035</v>
      </c>
      <c r="D1170" t="inlineStr">
        <is>
          <t>VÄRMLANDS LÄN</t>
        </is>
      </c>
      <c r="E1170" t="inlineStr">
        <is>
          <t>ÅRJÄNG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41283-2023</t>
        </is>
      </c>
      <c r="B1171" s="1" t="n">
        <v>45174.57032407408</v>
      </c>
      <c r="C1171" s="1" t="n">
        <v>46035</v>
      </c>
      <c r="D1171" t="inlineStr">
        <is>
          <t>VÄRMLANDS LÄN</t>
        </is>
      </c>
      <c r="E1171" t="inlineStr">
        <is>
          <t>ÅRJÄNG</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36592-2024</t>
        </is>
      </c>
      <c r="B1172" s="1" t="n">
        <v>45537</v>
      </c>
      <c r="C1172" s="1" t="n">
        <v>46035</v>
      </c>
      <c r="D1172" t="inlineStr">
        <is>
          <t>VÄRMLANDS LÄN</t>
        </is>
      </c>
      <c r="E1172" t="inlineStr">
        <is>
          <t>ÅRJÄNG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56757-2023</t>
        </is>
      </c>
      <c r="B1173" s="1" t="n">
        <v>45244.37539351852</v>
      </c>
      <c r="C1173" s="1" t="n">
        <v>46035</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49891-2022</t>
        </is>
      </c>
      <c r="B1174" s="1" t="n">
        <v>44864</v>
      </c>
      <c r="C1174" s="1" t="n">
        <v>46035</v>
      </c>
      <c r="D1174" t="inlineStr">
        <is>
          <t>VÄRMLANDS LÄN</t>
        </is>
      </c>
      <c r="E1174" t="inlineStr">
        <is>
          <t>ÅRJÄNG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59811-2023</t>
        </is>
      </c>
      <c r="B1175" s="1" t="n">
        <v>45254</v>
      </c>
      <c r="C1175" s="1" t="n">
        <v>46035</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24916-2024</t>
        </is>
      </c>
      <c r="B1176" s="1" t="n">
        <v>45461.6058449074</v>
      </c>
      <c r="C1176" s="1" t="n">
        <v>46035</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27692-2024</t>
        </is>
      </c>
      <c r="B1177" s="1" t="n">
        <v>45474</v>
      </c>
      <c r="C1177" s="1" t="n">
        <v>46035</v>
      </c>
      <c r="D1177" t="inlineStr">
        <is>
          <t>VÄRMLANDS LÄN</t>
        </is>
      </c>
      <c r="E1177" t="inlineStr">
        <is>
          <t>ÅRJÄNG</t>
        </is>
      </c>
      <c r="F1177" t="inlineStr">
        <is>
          <t>Övriga Aktiebolag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34425-2021</t>
        </is>
      </c>
      <c r="B1178" s="1" t="n">
        <v>44380</v>
      </c>
      <c r="C1178" s="1" t="n">
        <v>46035</v>
      </c>
      <c r="D1178" t="inlineStr">
        <is>
          <t>VÄRMLANDS LÄN</t>
        </is>
      </c>
      <c r="E1178" t="inlineStr">
        <is>
          <t>ÅRJÄNG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32973-2021</t>
        </is>
      </c>
      <c r="B1179" s="1" t="n">
        <v>44376</v>
      </c>
      <c r="C1179" s="1" t="n">
        <v>46035</v>
      </c>
      <c r="D1179" t="inlineStr">
        <is>
          <t>VÄRMLANDS LÄN</t>
        </is>
      </c>
      <c r="E1179" t="inlineStr">
        <is>
          <t>ÅRJÄNG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56333-2024</t>
        </is>
      </c>
      <c r="B1180" s="1" t="n">
        <v>45624.8005324074</v>
      </c>
      <c r="C1180" s="1" t="n">
        <v>46035</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61764-2022</t>
        </is>
      </c>
      <c r="B1181" s="1" t="n">
        <v>44911</v>
      </c>
      <c r="C1181" s="1" t="n">
        <v>46035</v>
      </c>
      <c r="D1181" t="inlineStr">
        <is>
          <t>VÄRMLANDS LÄN</t>
        </is>
      </c>
      <c r="E1181" t="inlineStr">
        <is>
          <t>ÅRJÄNG</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19052-2023</t>
        </is>
      </c>
      <c r="B1182" s="1" t="n">
        <v>45047</v>
      </c>
      <c r="C1182" s="1" t="n">
        <v>46035</v>
      </c>
      <c r="D1182" t="inlineStr">
        <is>
          <t>VÄRMLANDS LÄN</t>
        </is>
      </c>
      <c r="E1182" t="inlineStr">
        <is>
          <t>ÅRJÄNG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15570-2025</t>
        </is>
      </c>
      <c r="B1183" s="1" t="n">
        <v>45747</v>
      </c>
      <c r="C1183" s="1" t="n">
        <v>46035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15572-2025</t>
        </is>
      </c>
      <c r="B1184" s="1" t="n">
        <v>45747</v>
      </c>
      <c r="C1184" s="1" t="n">
        <v>46035</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15578-2025</t>
        </is>
      </c>
      <c r="B1185" s="1" t="n">
        <v>45747</v>
      </c>
      <c r="C1185" s="1" t="n">
        <v>46035</v>
      </c>
      <c r="D1185" t="inlineStr">
        <is>
          <t>VÄRMLANDS LÄN</t>
        </is>
      </c>
      <c r="E1185" t="inlineStr">
        <is>
          <t>ÅRJÄNG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69417-2021</t>
        </is>
      </c>
      <c r="B1186" s="1" t="n">
        <v>44531</v>
      </c>
      <c r="C1186" s="1" t="n">
        <v>46035</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38482-2024</t>
        </is>
      </c>
      <c r="B1187" s="1" t="n">
        <v>45546</v>
      </c>
      <c r="C1187" s="1" t="n">
        <v>46035</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65837-2021</t>
        </is>
      </c>
      <c r="B1188" s="1" t="n">
        <v>44517.35402777778</v>
      </c>
      <c r="C1188" s="1" t="n">
        <v>46035</v>
      </c>
      <c r="D1188" t="inlineStr">
        <is>
          <t>VÄRMLANDS LÄN</t>
        </is>
      </c>
      <c r="E1188" t="inlineStr">
        <is>
          <t>ÅRJÄNG</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49405-2022</t>
        </is>
      </c>
      <c r="B1189" s="1" t="n">
        <v>44861.63182870371</v>
      </c>
      <c r="C1189" s="1" t="n">
        <v>46035</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44417-2021</t>
        </is>
      </c>
      <c r="B1190" s="1" t="n">
        <v>44435.50591435185</v>
      </c>
      <c r="C1190" s="1" t="n">
        <v>46035</v>
      </c>
      <c r="D1190" t="inlineStr">
        <is>
          <t>VÄRMLANDS LÄN</t>
        </is>
      </c>
      <c r="E1190" t="inlineStr">
        <is>
          <t>ÅRJÄNG</t>
        </is>
      </c>
      <c r="G1190" t="n">
        <v>32.2</v>
      </c>
      <c r="H1190" t="n">
        <v>0</v>
      </c>
      <c r="I1190" t="n">
        <v>0</v>
      </c>
      <c r="J1190" t="n">
        <v>0</v>
      </c>
      <c r="K1190" t="n">
        <v>0</v>
      </c>
      <c r="L1190" t="n">
        <v>0</v>
      </c>
      <c r="M1190" t="n">
        <v>0</v>
      </c>
      <c r="N1190" t="n">
        <v>0</v>
      </c>
      <c r="O1190" t="n">
        <v>0</v>
      </c>
      <c r="P1190" t="n">
        <v>0</v>
      </c>
      <c r="Q1190" t="n">
        <v>0</v>
      </c>
      <c r="R1190" s="2" t="inlineStr"/>
    </row>
    <row r="1191" ht="15" customHeight="1">
      <c r="A1191" t="inlineStr">
        <is>
          <t>A 21362-2022</t>
        </is>
      </c>
      <c r="B1191" s="1" t="n">
        <v>44705</v>
      </c>
      <c r="C1191" s="1" t="n">
        <v>46035</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65854-2021</t>
        </is>
      </c>
      <c r="B1192" s="1" t="n">
        <v>44517.37467592592</v>
      </c>
      <c r="C1192" s="1" t="n">
        <v>46035</v>
      </c>
      <c r="D1192" t="inlineStr">
        <is>
          <t>VÄRMLANDS LÄN</t>
        </is>
      </c>
      <c r="E1192" t="inlineStr">
        <is>
          <t>ÅRJÄNG</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42149-2024</t>
        </is>
      </c>
      <c r="B1193" s="1" t="n">
        <v>45562.44591435185</v>
      </c>
      <c r="C1193" s="1" t="n">
        <v>46035</v>
      </c>
      <c r="D1193" t="inlineStr">
        <is>
          <t>VÄRMLANDS LÄN</t>
        </is>
      </c>
      <c r="E1193" t="inlineStr">
        <is>
          <t>ÅRJÄNG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8951-2021</t>
        </is>
      </c>
      <c r="B1194" s="1" t="n">
        <v>44246</v>
      </c>
      <c r="C1194" s="1" t="n">
        <v>46035</v>
      </c>
      <c r="D1194" t="inlineStr">
        <is>
          <t>VÄRMLANDS LÄN</t>
        </is>
      </c>
      <c r="E1194" t="inlineStr">
        <is>
          <t>ÅRJÄNG</t>
        </is>
      </c>
      <c r="F1194" t="inlineStr">
        <is>
          <t>Övriga Aktiebolag</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47223-2021</t>
        </is>
      </c>
      <c r="B1195" s="1" t="n">
        <v>44446</v>
      </c>
      <c r="C1195" s="1" t="n">
        <v>46035</v>
      </c>
      <c r="D1195" t="inlineStr">
        <is>
          <t>VÄRMLANDS LÄN</t>
        </is>
      </c>
      <c r="E1195" t="inlineStr">
        <is>
          <t>ÅRJÄNG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4748-2023</t>
        </is>
      </c>
      <c r="B1196" s="1" t="n">
        <v>44957</v>
      </c>
      <c r="C1196" s="1" t="n">
        <v>46035</v>
      </c>
      <c r="D1196" t="inlineStr">
        <is>
          <t>VÄRMLANDS LÄN</t>
        </is>
      </c>
      <c r="E1196" t="inlineStr">
        <is>
          <t>ÅRJÄNG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43244-2023</t>
        </is>
      </c>
      <c r="B1197" s="1" t="n">
        <v>45183.48121527778</v>
      </c>
      <c r="C1197" s="1" t="n">
        <v>46035</v>
      </c>
      <c r="D1197" t="inlineStr">
        <is>
          <t>VÄRMLANDS LÄN</t>
        </is>
      </c>
      <c r="E1197" t="inlineStr">
        <is>
          <t>ÅRJÄNG</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42141-2024</t>
        </is>
      </c>
      <c r="B1198" s="1" t="n">
        <v>45562.43354166667</v>
      </c>
      <c r="C1198" s="1" t="n">
        <v>46035</v>
      </c>
      <c r="D1198" t="inlineStr">
        <is>
          <t>VÄRMLANDS LÄN</t>
        </is>
      </c>
      <c r="E1198" t="inlineStr">
        <is>
          <t>ÅRJÄNG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11026-2023</t>
        </is>
      </c>
      <c r="B1199" s="1" t="n">
        <v>44991</v>
      </c>
      <c r="C1199" s="1" t="n">
        <v>46035</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42455-2024</t>
        </is>
      </c>
      <c r="B1200" s="1" t="n">
        <v>45565</v>
      </c>
      <c r="C1200" s="1" t="n">
        <v>46035</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3796-2021</t>
        </is>
      </c>
      <c r="B1201" s="1" t="n">
        <v>44221</v>
      </c>
      <c r="C1201" s="1" t="n">
        <v>46035</v>
      </c>
      <c r="D1201" t="inlineStr">
        <is>
          <t>VÄRMLANDS LÄN</t>
        </is>
      </c>
      <c r="E1201" t="inlineStr">
        <is>
          <t>ÅRJÄNG</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49673-2022</t>
        </is>
      </c>
      <c r="B1202" s="1" t="n">
        <v>44862.47881944444</v>
      </c>
      <c r="C1202" s="1" t="n">
        <v>46035</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54335-2021</t>
        </is>
      </c>
      <c r="B1203" s="1" t="n">
        <v>44472.93063657408</v>
      </c>
      <c r="C1203" s="1" t="n">
        <v>46035</v>
      </c>
      <c r="D1203" t="inlineStr">
        <is>
          <t>VÄRMLANDS LÄN</t>
        </is>
      </c>
      <c r="E1203" t="inlineStr">
        <is>
          <t>ÅRJÄNG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11176-2023</t>
        </is>
      </c>
      <c r="B1204" s="1" t="n">
        <v>44987</v>
      </c>
      <c r="C1204" s="1" t="n">
        <v>46035</v>
      </c>
      <c r="D1204" t="inlineStr">
        <is>
          <t>VÄRMLANDS LÄN</t>
        </is>
      </c>
      <c r="E1204" t="inlineStr">
        <is>
          <t>ÅRJÄNG</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8678-2022</t>
        </is>
      </c>
      <c r="B1205" s="1" t="n">
        <v>44613.68043981482</v>
      </c>
      <c r="C1205" s="1" t="n">
        <v>46035</v>
      </c>
      <c r="D1205" t="inlineStr">
        <is>
          <t>VÄRMLANDS LÄN</t>
        </is>
      </c>
      <c r="E1205" t="inlineStr">
        <is>
          <t>ÅRJÄNG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61009-2022</t>
        </is>
      </c>
      <c r="B1206" s="1" t="n">
        <v>44914.7541550926</v>
      </c>
      <c r="C1206" s="1" t="n">
        <v>46035</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34574-2023</t>
        </is>
      </c>
      <c r="B1207" s="1" t="n">
        <v>45135</v>
      </c>
      <c r="C1207" s="1" t="n">
        <v>46035</v>
      </c>
      <c r="D1207" t="inlineStr">
        <is>
          <t>VÄRMLANDS LÄN</t>
        </is>
      </c>
      <c r="E1207" t="inlineStr">
        <is>
          <t>ÅRJÄNG</t>
        </is>
      </c>
      <c r="F1207" t="inlineStr">
        <is>
          <t>Övriga Aktiebolag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48293-2022</t>
        </is>
      </c>
      <c r="B1208" s="1" t="n">
        <v>44858.51623842592</v>
      </c>
      <c r="C1208" s="1" t="n">
        <v>46035</v>
      </c>
      <c r="D1208" t="inlineStr">
        <is>
          <t>VÄRMLANDS LÄN</t>
        </is>
      </c>
      <c r="E1208" t="inlineStr">
        <is>
          <t>ÅRJÄNG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38433-2024</t>
        </is>
      </c>
      <c r="B1209" s="1" t="n">
        <v>45546</v>
      </c>
      <c r="C1209" s="1" t="n">
        <v>46035</v>
      </c>
      <c r="D1209" t="inlineStr">
        <is>
          <t>VÄRMLANDS LÄN</t>
        </is>
      </c>
      <c r="E1209" t="inlineStr">
        <is>
          <t>ÅRJÄNG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7746-2022</t>
        </is>
      </c>
      <c r="B1210" s="1" t="n">
        <v>44608.39331018519</v>
      </c>
      <c r="C1210" s="1" t="n">
        <v>46035</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34410-2023</t>
        </is>
      </c>
      <c r="B1211" s="1" t="n">
        <v>45139.56870370371</v>
      </c>
      <c r="C1211" s="1" t="n">
        <v>46035</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7537-2021</t>
        </is>
      </c>
      <c r="B1212" s="1" t="n">
        <v>44239</v>
      </c>
      <c r="C1212" s="1" t="n">
        <v>46035</v>
      </c>
      <c r="D1212" t="inlineStr">
        <is>
          <t>VÄRMLANDS LÄN</t>
        </is>
      </c>
      <c r="E1212" t="inlineStr">
        <is>
          <t>ÅRJÄNG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50301-2024</t>
        </is>
      </c>
      <c r="B1213" s="1" t="n">
        <v>45600</v>
      </c>
      <c r="C1213" s="1" t="n">
        <v>46035</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15616-2023</t>
        </is>
      </c>
      <c r="B1214" s="1" t="n">
        <v>45020.88847222222</v>
      </c>
      <c r="C1214" s="1" t="n">
        <v>46035</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5342-2022</t>
        </is>
      </c>
      <c r="B1215" s="1" t="n">
        <v>44594.72582175926</v>
      </c>
      <c r="C1215" s="1" t="n">
        <v>46035</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25654-2024</t>
        </is>
      </c>
      <c r="B1216" s="1" t="n">
        <v>45463</v>
      </c>
      <c r="C1216" s="1" t="n">
        <v>46035</v>
      </c>
      <c r="D1216" t="inlineStr">
        <is>
          <t>VÄRMLANDS LÄN</t>
        </is>
      </c>
      <c r="E1216" t="inlineStr">
        <is>
          <t>ÅRJÄNG</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30548-2023</t>
        </is>
      </c>
      <c r="B1217" s="1" t="n">
        <v>45111.77894675926</v>
      </c>
      <c r="C1217" s="1" t="n">
        <v>46035</v>
      </c>
      <c r="D1217" t="inlineStr">
        <is>
          <t>VÄRMLANDS LÄN</t>
        </is>
      </c>
      <c r="E1217" t="inlineStr">
        <is>
          <t>ÅRJÄNG</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32776-2024</t>
        </is>
      </c>
      <c r="B1218" s="1" t="n">
        <v>45516</v>
      </c>
      <c r="C1218" s="1" t="n">
        <v>46035</v>
      </c>
      <c r="D1218" t="inlineStr">
        <is>
          <t>VÄRMLANDS LÄN</t>
        </is>
      </c>
      <c r="E1218" t="inlineStr">
        <is>
          <t>ÅRJÄNG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17174-2023</t>
        </is>
      </c>
      <c r="B1219" s="1" t="n">
        <v>45034</v>
      </c>
      <c r="C1219" s="1" t="n">
        <v>46035</v>
      </c>
      <c r="D1219" t="inlineStr">
        <is>
          <t>VÄRMLANDS LÄN</t>
        </is>
      </c>
      <c r="E1219" t="inlineStr">
        <is>
          <t>ÅRJÄNG</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44385-2022</t>
        </is>
      </c>
      <c r="B1220" s="1" t="n">
        <v>44839</v>
      </c>
      <c r="C1220" s="1" t="n">
        <v>46035</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68180-2021</t>
        </is>
      </c>
      <c r="B1221" s="1" t="n">
        <v>44526.48689814815</v>
      </c>
      <c r="C1221" s="1" t="n">
        <v>46035</v>
      </c>
      <c r="D1221" t="inlineStr">
        <is>
          <t>VÄRMLANDS LÄN</t>
        </is>
      </c>
      <c r="E1221" t="inlineStr">
        <is>
          <t>ÅRJÄNG</t>
        </is>
      </c>
      <c r="F1221" t="inlineStr">
        <is>
          <t>Kyrkan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28384-2022</t>
        </is>
      </c>
      <c r="B1222" s="1" t="n">
        <v>44747</v>
      </c>
      <c r="C1222" s="1" t="n">
        <v>46035</v>
      </c>
      <c r="D1222" t="inlineStr">
        <is>
          <t>VÄRMLANDS LÄN</t>
        </is>
      </c>
      <c r="E1222" t="inlineStr">
        <is>
          <t>ÅRJÄNG</t>
        </is>
      </c>
      <c r="F1222" t="inlineStr">
        <is>
          <t>Naturvårdsverket</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47623-2024</t>
        </is>
      </c>
      <c r="B1223" s="1" t="n">
        <v>45588.33216435185</v>
      </c>
      <c r="C1223" s="1" t="n">
        <v>46035</v>
      </c>
      <c r="D1223" t="inlineStr">
        <is>
          <t>VÄRMLANDS LÄN</t>
        </is>
      </c>
      <c r="E1223" t="inlineStr">
        <is>
          <t>ÅRJÄNG</t>
        </is>
      </c>
      <c r="F1223" t="inlineStr">
        <is>
          <t>Kommuner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23203-2023</t>
        </is>
      </c>
      <c r="B1224" s="1" t="n">
        <v>45075.61314814815</v>
      </c>
      <c r="C1224" s="1" t="n">
        <v>46035</v>
      </c>
      <c r="D1224" t="inlineStr">
        <is>
          <t>VÄRMLANDS LÄN</t>
        </is>
      </c>
      <c r="E1224" t="inlineStr">
        <is>
          <t>ÅRJÄNG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23212-2023</t>
        </is>
      </c>
      <c r="B1225" s="1" t="n">
        <v>45075.63211805555</v>
      </c>
      <c r="C1225" s="1" t="n">
        <v>46035</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24505-2023</t>
        </is>
      </c>
      <c r="B1226" s="1" t="n">
        <v>45082</v>
      </c>
      <c r="C1226" s="1" t="n">
        <v>46035</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56314-2024</t>
        </is>
      </c>
      <c r="B1227" s="1" t="n">
        <v>45624.72149305556</v>
      </c>
      <c r="C1227" s="1" t="n">
        <v>46035</v>
      </c>
      <c r="D1227" t="inlineStr">
        <is>
          <t>VÄRMLANDS LÄN</t>
        </is>
      </c>
      <c r="E1227" t="inlineStr">
        <is>
          <t>ÅRJÄNG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59622-2022</t>
        </is>
      </c>
      <c r="B1228" s="1" t="n">
        <v>44907.89939814815</v>
      </c>
      <c r="C1228" s="1" t="n">
        <v>46035</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45929-2024</t>
        </is>
      </c>
      <c r="B1229" s="1" t="n">
        <v>45580</v>
      </c>
      <c r="C1229" s="1" t="n">
        <v>46035</v>
      </c>
      <c r="D1229" t="inlineStr">
        <is>
          <t>VÄRMLANDS LÄN</t>
        </is>
      </c>
      <c r="E1229" t="inlineStr">
        <is>
          <t>ÅRJÄNG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45876-2024</t>
        </is>
      </c>
      <c r="B1230" s="1" t="n">
        <v>45580</v>
      </c>
      <c r="C1230" s="1" t="n">
        <v>46035</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47647-2021</t>
        </is>
      </c>
      <c r="B1231" s="1" t="n">
        <v>44448.40790509259</v>
      </c>
      <c r="C1231" s="1" t="n">
        <v>46035</v>
      </c>
      <c r="D1231" t="inlineStr">
        <is>
          <t>VÄRMLANDS LÄN</t>
        </is>
      </c>
      <c r="E1231" t="inlineStr">
        <is>
          <t>ÅRJÄNG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23870-2023</t>
        </is>
      </c>
      <c r="B1232" s="1" t="n">
        <v>45078</v>
      </c>
      <c r="C1232" s="1" t="n">
        <v>46035</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45962-2021</t>
        </is>
      </c>
      <c r="B1233" s="1" t="n">
        <v>44441</v>
      </c>
      <c r="C1233" s="1" t="n">
        <v>46035</v>
      </c>
      <c r="D1233" t="inlineStr">
        <is>
          <t>VÄRMLANDS LÄN</t>
        </is>
      </c>
      <c r="E1233" t="inlineStr">
        <is>
          <t>ÅRJÄNG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60126-2024</t>
        </is>
      </c>
      <c r="B1234" s="1" t="n">
        <v>45642.5919212963</v>
      </c>
      <c r="C1234" s="1" t="n">
        <v>46035</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12907-2022</t>
        </is>
      </c>
      <c r="B1235" s="1" t="n">
        <v>44642.62002314815</v>
      </c>
      <c r="C1235" s="1" t="n">
        <v>46035</v>
      </c>
      <c r="D1235" t="inlineStr">
        <is>
          <t>VÄRMLANDS LÄN</t>
        </is>
      </c>
      <c r="E1235" t="inlineStr">
        <is>
          <t>ÅRJÄNG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13060-2022</t>
        </is>
      </c>
      <c r="B1236" s="1" t="n">
        <v>44643</v>
      </c>
      <c r="C1236" s="1" t="n">
        <v>46035</v>
      </c>
      <c r="D1236" t="inlineStr">
        <is>
          <t>VÄRMLANDS LÄN</t>
        </is>
      </c>
      <c r="E1236" t="inlineStr">
        <is>
          <t>ÅRJÄNG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13160-2022</t>
        </is>
      </c>
      <c r="B1237" s="1" t="n">
        <v>44644.43545138889</v>
      </c>
      <c r="C1237" s="1" t="n">
        <v>46035</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8885-2021</t>
        </is>
      </c>
      <c r="B1238" s="1" t="n">
        <v>44248</v>
      </c>
      <c r="C1238" s="1" t="n">
        <v>46035</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60930-2021</t>
        </is>
      </c>
      <c r="B1239" s="1" t="n">
        <v>44497.46921296296</v>
      </c>
      <c r="C1239" s="1" t="n">
        <v>46035</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12209-2023</t>
        </is>
      </c>
      <c r="B1240" s="1" t="n">
        <v>44998</v>
      </c>
      <c r="C1240" s="1" t="n">
        <v>46035</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26866-2024</t>
        </is>
      </c>
      <c r="B1241" s="1" t="n">
        <v>45470</v>
      </c>
      <c r="C1241" s="1" t="n">
        <v>46035</v>
      </c>
      <c r="D1241" t="inlineStr">
        <is>
          <t>VÄRMLANDS LÄN</t>
        </is>
      </c>
      <c r="E1241" t="inlineStr">
        <is>
          <t>ÅRJÄNG</t>
        </is>
      </c>
      <c r="F1241" t="inlineStr">
        <is>
          <t>Kyrkan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49133-2024</t>
        </is>
      </c>
      <c r="B1242" s="1" t="n">
        <v>45594</v>
      </c>
      <c r="C1242" s="1" t="n">
        <v>46035</v>
      </c>
      <c r="D1242" t="inlineStr">
        <is>
          <t>VÄRMLANDS LÄN</t>
        </is>
      </c>
      <c r="E1242" t="inlineStr">
        <is>
          <t>ÅRJÄNG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12740-2025</t>
        </is>
      </c>
      <c r="B1243" s="1" t="n">
        <v>45733</v>
      </c>
      <c r="C1243" s="1" t="n">
        <v>46035</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1415-2025</t>
        </is>
      </c>
      <c r="B1244" s="1" t="n">
        <v>45668.32795138889</v>
      </c>
      <c r="C1244" s="1" t="n">
        <v>46035</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15300-2025</t>
        </is>
      </c>
      <c r="B1245" s="1" t="n">
        <v>45746</v>
      </c>
      <c r="C1245" s="1" t="n">
        <v>46035</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6962-2025</t>
        </is>
      </c>
      <c r="B1246" s="1" t="n">
        <v>45701</v>
      </c>
      <c r="C1246" s="1" t="n">
        <v>46035</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46249-2023</t>
        </is>
      </c>
      <c r="B1247" s="1" t="n">
        <v>45196.89337962963</v>
      </c>
      <c r="C1247" s="1" t="n">
        <v>46035</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21392-2023</t>
        </is>
      </c>
      <c r="B1248" s="1" t="n">
        <v>45061</v>
      </c>
      <c r="C1248" s="1" t="n">
        <v>46035</v>
      </c>
      <c r="D1248" t="inlineStr">
        <is>
          <t>VÄRMLANDS LÄN</t>
        </is>
      </c>
      <c r="E1248" t="inlineStr">
        <is>
          <t>ÅRJÄNG</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44140-2024</t>
        </is>
      </c>
      <c r="B1249" s="1" t="n">
        <v>45572</v>
      </c>
      <c r="C1249" s="1" t="n">
        <v>46035</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9441-2021</t>
        </is>
      </c>
      <c r="B1250" s="1" t="n">
        <v>44251</v>
      </c>
      <c r="C1250" s="1" t="n">
        <v>46035</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7184-2024</t>
        </is>
      </c>
      <c r="B1251" s="1" t="n">
        <v>45344</v>
      </c>
      <c r="C1251" s="1" t="n">
        <v>46035</v>
      </c>
      <c r="D1251" t="inlineStr">
        <is>
          <t>VÄRMLANDS LÄN</t>
        </is>
      </c>
      <c r="E1251" t="inlineStr">
        <is>
          <t>ÅRJÄNG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480-2025</t>
        </is>
      </c>
      <c r="B1252" s="1" t="n">
        <v>45664</v>
      </c>
      <c r="C1252" s="1" t="n">
        <v>46035</v>
      </c>
      <c r="D1252" t="inlineStr">
        <is>
          <t>VÄRMLANDS LÄN</t>
        </is>
      </c>
      <c r="E1252" t="inlineStr">
        <is>
          <t>ÅRJÄNG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2253-2025</t>
        </is>
      </c>
      <c r="B1253" s="1" t="n">
        <v>45673</v>
      </c>
      <c r="C1253" s="1" t="n">
        <v>46035</v>
      </c>
      <c r="D1253" t="inlineStr">
        <is>
          <t>VÄRMLANDS LÄN</t>
        </is>
      </c>
      <c r="E1253" t="inlineStr">
        <is>
          <t>ÅRJÄNG</t>
        </is>
      </c>
      <c r="G1253" t="n">
        <v>12.4</v>
      </c>
      <c r="H1253" t="n">
        <v>0</v>
      </c>
      <c r="I1253" t="n">
        <v>0</v>
      </c>
      <c r="J1253" t="n">
        <v>0</v>
      </c>
      <c r="K1253" t="n">
        <v>0</v>
      </c>
      <c r="L1253" t="n">
        <v>0</v>
      </c>
      <c r="M1253" t="n">
        <v>0</v>
      </c>
      <c r="N1253" t="n">
        <v>0</v>
      </c>
      <c r="O1253" t="n">
        <v>0</v>
      </c>
      <c r="P1253" t="n">
        <v>0</v>
      </c>
      <c r="Q1253" t="n">
        <v>0</v>
      </c>
      <c r="R1253" s="2" t="inlineStr"/>
    </row>
    <row r="1254" ht="15" customHeight="1">
      <c r="A1254" t="inlineStr">
        <is>
          <t>A 4976-2025</t>
        </is>
      </c>
      <c r="B1254" s="1" t="n">
        <v>45690.86565972222</v>
      </c>
      <c r="C1254" s="1" t="n">
        <v>46035</v>
      </c>
      <c r="D1254" t="inlineStr">
        <is>
          <t>VÄRMLANDS LÄN</t>
        </is>
      </c>
      <c r="E1254" t="inlineStr">
        <is>
          <t>ÅRJÄNG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13726-2024</t>
        </is>
      </c>
      <c r="B1255" s="1" t="n">
        <v>45390.68759259259</v>
      </c>
      <c r="C1255" s="1" t="n">
        <v>46035</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12068-2022</t>
        </is>
      </c>
      <c r="B1256" s="1" t="n">
        <v>44636</v>
      </c>
      <c r="C1256" s="1" t="n">
        <v>46035</v>
      </c>
      <c r="D1256" t="inlineStr">
        <is>
          <t>VÄRMLANDS LÄN</t>
        </is>
      </c>
      <c r="E1256" t="inlineStr">
        <is>
          <t>ÅRJÄNG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54437-2021</t>
        </is>
      </c>
      <c r="B1257" s="1" t="n">
        <v>44459</v>
      </c>
      <c r="C1257" s="1" t="n">
        <v>46035</v>
      </c>
      <c r="D1257" t="inlineStr">
        <is>
          <t>VÄRMLANDS LÄN</t>
        </is>
      </c>
      <c r="E1257" t="inlineStr">
        <is>
          <t>ÅRJÄNG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13814-2024</t>
        </is>
      </c>
      <c r="B1258" s="1" t="n">
        <v>45391</v>
      </c>
      <c r="C1258" s="1" t="n">
        <v>46035</v>
      </c>
      <c r="D1258" t="inlineStr">
        <is>
          <t>VÄRMLANDS LÄN</t>
        </is>
      </c>
      <c r="E1258" t="inlineStr">
        <is>
          <t>ÅRJÄNG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13819-2024</t>
        </is>
      </c>
      <c r="B1259" s="1" t="n">
        <v>45391.42252314815</v>
      </c>
      <c r="C1259" s="1" t="n">
        <v>46035</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12082-2023</t>
        </is>
      </c>
      <c r="B1260" s="1" t="n">
        <v>44997.78215277778</v>
      </c>
      <c r="C1260" s="1" t="n">
        <v>46035</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61913-2024</t>
        </is>
      </c>
      <c r="B1261" s="1" t="n">
        <v>45653.38708333333</v>
      </c>
      <c r="C1261" s="1" t="n">
        <v>46035</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5931-2023</t>
        </is>
      </c>
      <c r="B1262" s="1" t="n">
        <v>44963</v>
      </c>
      <c r="C1262" s="1" t="n">
        <v>46035</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33728-2021</t>
        </is>
      </c>
      <c r="B1263" s="1" t="n">
        <v>44378.47640046296</v>
      </c>
      <c r="C1263" s="1" t="n">
        <v>46035</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13317-2025</t>
        </is>
      </c>
      <c r="B1264" s="1" t="n">
        <v>45735.59452546296</v>
      </c>
      <c r="C1264" s="1" t="n">
        <v>46035</v>
      </c>
      <c r="D1264" t="inlineStr">
        <is>
          <t>VÄRMLANDS LÄN</t>
        </is>
      </c>
      <c r="E1264" t="inlineStr">
        <is>
          <t>ÅRJÄNG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64903-2023</t>
        </is>
      </c>
      <c r="B1265" s="1" t="n">
        <v>45282</v>
      </c>
      <c r="C1265" s="1" t="n">
        <v>46035</v>
      </c>
      <c r="D1265" t="inlineStr">
        <is>
          <t>VÄRMLANDS LÄN</t>
        </is>
      </c>
      <c r="E1265" t="inlineStr">
        <is>
          <t>ÅRJÄNG</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17878-2024</t>
        </is>
      </c>
      <c r="B1266" s="1" t="n">
        <v>45419</v>
      </c>
      <c r="C1266" s="1" t="n">
        <v>46035</v>
      </c>
      <c r="D1266" t="inlineStr">
        <is>
          <t>VÄRMLANDS LÄN</t>
        </is>
      </c>
      <c r="E1266" t="inlineStr">
        <is>
          <t>ÅRJÄNG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64151-2023</t>
        </is>
      </c>
      <c r="B1267" s="1" t="n">
        <v>45279.58803240741</v>
      </c>
      <c r="C1267" s="1" t="n">
        <v>46035</v>
      </c>
      <c r="D1267" t="inlineStr">
        <is>
          <t>VÄRMLANDS LÄN</t>
        </is>
      </c>
      <c r="E1267" t="inlineStr">
        <is>
          <t>ÅRJÄNG</t>
        </is>
      </c>
      <c r="G1267" t="n">
        <v>24.5</v>
      </c>
      <c r="H1267" t="n">
        <v>0</v>
      </c>
      <c r="I1267" t="n">
        <v>0</v>
      </c>
      <c r="J1267" t="n">
        <v>0</v>
      </c>
      <c r="K1267" t="n">
        <v>0</v>
      </c>
      <c r="L1267" t="n">
        <v>0</v>
      </c>
      <c r="M1267" t="n">
        <v>0</v>
      </c>
      <c r="N1267" t="n">
        <v>0</v>
      </c>
      <c r="O1267" t="n">
        <v>0</v>
      </c>
      <c r="P1267" t="n">
        <v>0</v>
      </c>
      <c r="Q1267" t="n">
        <v>0</v>
      </c>
      <c r="R1267" s="2" t="inlineStr"/>
    </row>
    <row r="1268" ht="15" customHeight="1">
      <c r="A1268" t="inlineStr">
        <is>
          <t>A 8838-2023</t>
        </is>
      </c>
      <c r="B1268" s="1" t="n">
        <v>44978</v>
      </c>
      <c r="C1268" s="1" t="n">
        <v>46035</v>
      </c>
      <c r="D1268" t="inlineStr">
        <is>
          <t>VÄRMLANDS LÄN</t>
        </is>
      </c>
      <c r="E1268" t="inlineStr">
        <is>
          <t>ÅRJÄNG</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51258-2022</t>
        </is>
      </c>
      <c r="B1269" s="1" t="n">
        <v>44868.67460648148</v>
      </c>
      <c r="C1269" s="1" t="n">
        <v>46035</v>
      </c>
      <c r="D1269" t="inlineStr">
        <is>
          <t>VÄRMLANDS LÄN</t>
        </is>
      </c>
      <c r="E1269" t="inlineStr">
        <is>
          <t>ÅRJÄNG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23847-2023</t>
        </is>
      </c>
      <c r="B1270" s="1" t="n">
        <v>45078</v>
      </c>
      <c r="C1270" s="1" t="n">
        <v>46035</v>
      </c>
      <c r="D1270" t="inlineStr">
        <is>
          <t>VÄRMLANDS LÄN</t>
        </is>
      </c>
      <c r="E1270" t="inlineStr">
        <is>
          <t>ÅRJÄNG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15327-2022</t>
        </is>
      </c>
      <c r="B1271" s="1" t="n">
        <v>44659</v>
      </c>
      <c r="C1271" s="1" t="n">
        <v>46035</v>
      </c>
      <c r="D1271" t="inlineStr">
        <is>
          <t>VÄRMLANDS LÄN</t>
        </is>
      </c>
      <c r="E1271" t="inlineStr">
        <is>
          <t>ÅRJÄNG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71812-2021</t>
        </is>
      </c>
      <c r="B1272" s="1" t="n">
        <v>44539</v>
      </c>
      <c r="C1272" s="1" t="n">
        <v>46035</v>
      </c>
      <c r="D1272" t="inlineStr">
        <is>
          <t>VÄRMLANDS LÄN</t>
        </is>
      </c>
      <c r="E1272" t="inlineStr">
        <is>
          <t>ÅRJÄNG</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34580-2023</t>
        </is>
      </c>
      <c r="B1273" s="1" t="n">
        <v>45135</v>
      </c>
      <c r="C1273" s="1" t="n">
        <v>46035</v>
      </c>
      <c r="D1273" t="inlineStr">
        <is>
          <t>VÄRMLANDS LÄN</t>
        </is>
      </c>
      <c r="E1273" t="inlineStr">
        <is>
          <t>ÅRJÄNG</t>
        </is>
      </c>
      <c r="F1273" t="inlineStr">
        <is>
          <t>Övriga Aktiebolag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15164-2023</t>
        </is>
      </c>
      <c r="B1274" s="1" t="n">
        <v>45016.59475694445</v>
      </c>
      <c r="C1274" s="1" t="n">
        <v>46035</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39187-2024</t>
        </is>
      </c>
      <c r="B1275" s="1" t="n">
        <v>45548.66915509259</v>
      </c>
      <c r="C1275" s="1" t="n">
        <v>46035</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24483-2024</t>
        </is>
      </c>
      <c r="B1276" s="1" t="n">
        <v>45459</v>
      </c>
      <c r="C1276" s="1" t="n">
        <v>46035</v>
      </c>
      <c r="D1276" t="inlineStr">
        <is>
          <t>VÄRMLANDS LÄN</t>
        </is>
      </c>
      <c r="E1276" t="inlineStr">
        <is>
          <t>ÅRJÄNG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24273-2023</t>
        </is>
      </c>
      <c r="B1277" s="1" t="n">
        <v>45079.6764699074</v>
      </c>
      <c r="C1277" s="1" t="n">
        <v>46035</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56940-2024</t>
        </is>
      </c>
      <c r="B1278" s="1" t="n">
        <v>45628.61755787037</v>
      </c>
      <c r="C1278" s="1" t="n">
        <v>46035</v>
      </c>
      <c r="D1278" t="inlineStr">
        <is>
          <t>VÄRMLANDS LÄN</t>
        </is>
      </c>
      <c r="E1278" t="inlineStr">
        <is>
          <t>ÅRJÄNG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36344-2023</t>
        </is>
      </c>
      <c r="B1279" s="1" t="n">
        <v>45152</v>
      </c>
      <c r="C1279" s="1" t="n">
        <v>46035</v>
      </c>
      <c r="D1279" t="inlineStr">
        <is>
          <t>VÄRMLANDS LÄN</t>
        </is>
      </c>
      <c r="E1279" t="inlineStr">
        <is>
          <t>ÅRJÄNG</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23904-2023</t>
        </is>
      </c>
      <c r="B1280" s="1" t="n">
        <v>45078.55413194445</v>
      </c>
      <c r="C1280" s="1" t="n">
        <v>46035</v>
      </c>
      <c r="D1280" t="inlineStr">
        <is>
          <t>VÄRMLANDS LÄN</t>
        </is>
      </c>
      <c r="E1280" t="inlineStr">
        <is>
          <t>ÅRJÄNG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21177-2023</t>
        </is>
      </c>
      <c r="B1281" s="1" t="n">
        <v>45062</v>
      </c>
      <c r="C1281" s="1" t="n">
        <v>46035</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46317-2024</t>
        </is>
      </c>
      <c r="B1282" s="1" t="n">
        <v>45581.74462962963</v>
      </c>
      <c r="C1282" s="1" t="n">
        <v>46035</v>
      </c>
      <c r="D1282" t="inlineStr">
        <is>
          <t>VÄRMLANDS LÄN</t>
        </is>
      </c>
      <c r="E1282" t="inlineStr">
        <is>
          <t>ÅRJÄNG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1580-2025</t>
        </is>
      </c>
      <c r="B1283" s="1" t="n">
        <v>45670</v>
      </c>
      <c r="C1283" s="1" t="n">
        <v>46035</v>
      </c>
      <c r="D1283" t="inlineStr">
        <is>
          <t>VÄRMLANDS LÄN</t>
        </is>
      </c>
      <c r="E1283" t="inlineStr">
        <is>
          <t>ÅRJÄNG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39557-2023</t>
        </is>
      </c>
      <c r="B1284" s="1" t="n">
        <v>45167.38633101852</v>
      </c>
      <c r="C1284" s="1" t="n">
        <v>46035</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2551-2025</t>
        </is>
      </c>
      <c r="B1285" s="1" t="n">
        <v>45674.63969907408</v>
      </c>
      <c r="C1285" s="1" t="n">
        <v>46035</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3848-2025</t>
        </is>
      </c>
      <c r="B1286" s="1" t="n">
        <v>45683</v>
      </c>
      <c r="C1286" s="1" t="n">
        <v>46035</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47833-2023</t>
        </is>
      </c>
      <c r="B1287" s="1" t="n">
        <v>45204.36287037037</v>
      </c>
      <c r="C1287" s="1" t="n">
        <v>46035</v>
      </c>
      <c r="D1287" t="inlineStr">
        <is>
          <t>VÄRMLANDS LÄN</t>
        </is>
      </c>
      <c r="E1287" t="inlineStr">
        <is>
          <t>ÅRJÄNG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40352-2023</t>
        </is>
      </c>
      <c r="B1288" s="1" t="n">
        <v>45168</v>
      </c>
      <c r="C1288" s="1" t="n">
        <v>46035</v>
      </c>
      <c r="D1288" t="inlineStr">
        <is>
          <t>VÄRMLANDS LÄN</t>
        </is>
      </c>
      <c r="E1288" t="inlineStr">
        <is>
          <t>ÅRJÄNG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55167-2024</t>
        </is>
      </c>
      <c r="B1289" s="1" t="n">
        <v>45621</v>
      </c>
      <c r="C1289" s="1" t="n">
        <v>46035</v>
      </c>
      <c r="D1289" t="inlineStr">
        <is>
          <t>VÄRMLANDS LÄN</t>
        </is>
      </c>
      <c r="E1289" t="inlineStr">
        <is>
          <t>ÅRJÄNG</t>
        </is>
      </c>
      <c r="F1289" t="inlineStr">
        <is>
          <t>Bergvik skog väst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33017-2022</t>
        </is>
      </c>
      <c r="B1290" s="1" t="n">
        <v>44785.32934027778</v>
      </c>
      <c r="C1290" s="1" t="n">
        <v>46035</v>
      </c>
      <c r="D1290" t="inlineStr">
        <is>
          <t>VÄRMLANDS LÄN</t>
        </is>
      </c>
      <c r="E1290" t="inlineStr">
        <is>
          <t>ÅRJÄNG</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16383-2022</t>
        </is>
      </c>
      <c r="B1291" s="1" t="n">
        <v>44671</v>
      </c>
      <c r="C1291" s="1" t="n">
        <v>46035</v>
      </c>
      <c r="D1291" t="inlineStr">
        <is>
          <t>VÄRMLANDS LÄN</t>
        </is>
      </c>
      <c r="E1291" t="inlineStr">
        <is>
          <t>ÅRJÄNG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13620-2023</t>
        </is>
      </c>
      <c r="B1292" s="1" t="n">
        <v>45006</v>
      </c>
      <c r="C1292" s="1" t="n">
        <v>46035</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16666-2025</t>
        </is>
      </c>
      <c r="B1293" s="1" t="n">
        <v>45754</v>
      </c>
      <c r="C1293" s="1" t="n">
        <v>46035</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16806-2024</t>
        </is>
      </c>
      <c r="B1294" s="1" t="n">
        <v>45411.45510416666</v>
      </c>
      <c r="C1294" s="1" t="n">
        <v>46035</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61873-2023</t>
        </is>
      </c>
      <c r="B1295" s="1" t="n">
        <v>45266.40989583333</v>
      </c>
      <c r="C1295" s="1" t="n">
        <v>46035</v>
      </c>
      <c r="D1295" t="inlineStr">
        <is>
          <t>VÄRMLANDS LÄN</t>
        </is>
      </c>
      <c r="E1295" t="inlineStr">
        <is>
          <t>ÅRJÄNG</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12687-2025</t>
        </is>
      </c>
      <c r="B1296" s="1" t="n">
        <v>45733.44953703704</v>
      </c>
      <c r="C1296" s="1" t="n">
        <v>46035</v>
      </c>
      <c r="D1296" t="inlineStr">
        <is>
          <t>VÄRMLANDS LÄN</t>
        </is>
      </c>
      <c r="E1296" t="inlineStr">
        <is>
          <t>ÅRJÄNG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28260-2024</t>
        </is>
      </c>
      <c r="B1297" s="1" t="n">
        <v>45477</v>
      </c>
      <c r="C1297" s="1" t="n">
        <v>46035</v>
      </c>
      <c r="D1297" t="inlineStr">
        <is>
          <t>VÄRMLANDS LÄN</t>
        </is>
      </c>
      <c r="E1297" t="inlineStr">
        <is>
          <t>ÅRJÄNG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1560-2025</t>
        </is>
      </c>
      <c r="B1298" s="1" t="n">
        <v>45670.53878472222</v>
      </c>
      <c r="C1298" s="1" t="n">
        <v>46035</v>
      </c>
      <c r="D1298" t="inlineStr">
        <is>
          <t>VÄRMLANDS LÄN</t>
        </is>
      </c>
      <c r="E1298" t="inlineStr">
        <is>
          <t>ÅRJÄNG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30710-2023</t>
        </is>
      </c>
      <c r="B1299" s="1" t="n">
        <v>45112.59900462963</v>
      </c>
      <c r="C1299" s="1" t="n">
        <v>46035</v>
      </c>
      <c r="D1299" t="inlineStr">
        <is>
          <t>VÄRMLANDS LÄN</t>
        </is>
      </c>
      <c r="E1299" t="inlineStr">
        <is>
          <t>ÅRJÄNG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8255-2025</t>
        </is>
      </c>
      <c r="B1300" s="1" t="n">
        <v>45708.49788194444</v>
      </c>
      <c r="C1300" s="1" t="n">
        <v>46035</v>
      </c>
      <c r="D1300" t="inlineStr">
        <is>
          <t>VÄRMLANDS LÄN</t>
        </is>
      </c>
      <c r="E1300" t="inlineStr">
        <is>
          <t>ÅRJÄNG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34409-2023</t>
        </is>
      </c>
      <c r="B1301" s="1" t="n">
        <v>45139.56662037037</v>
      </c>
      <c r="C1301" s="1" t="n">
        <v>46035</v>
      </c>
      <c r="D1301" t="inlineStr">
        <is>
          <t>VÄRMLANDS LÄN</t>
        </is>
      </c>
      <c r="E1301" t="inlineStr">
        <is>
          <t>ÅRJÄNG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2222-2023</t>
        </is>
      </c>
      <c r="B1302" s="1" t="n">
        <v>44942.4250462963</v>
      </c>
      <c r="C1302" s="1" t="n">
        <v>46035</v>
      </c>
      <c r="D1302" t="inlineStr">
        <is>
          <t>VÄRMLANDS LÄN</t>
        </is>
      </c>
      <c r="E1302" t="inlineStr">
        <is>
          <t>ÅRJÄNG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29263-2023</t>
        </is>
      </c>
      <c r="B1303" s="1" t="n">
        <v>45105</v>
      </c>
      <c r="C1303" s="1" t="n">
        <v>46035</v>
      </c>
      <c r="D1303" t="inlineStr">
        <is>
          <t>VÄRMLANDS LÄN</t>
        </is>
      </c>
      <c r="E1303" t="inlineStr">
        <is>
          <t>ÅRJÄNG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20354-2023</t>
        </is>
      </c>
      <c r="B1304" s="1" t="n">
        <v>45056</v>
      </c>
      <c r="C1304" s="1" t="n">
        <v>46035</v>
      </c>
      <c r="D1304" t="inlineStr">
        <is>
          <t>VÄRMLANDS LÄN</t>
        </is>
      </c>
      <c r="E1304" t="inlineStr">
        <is>
          <t>ÅRJÄNG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6522-2021</t>
        </is>
      </c>
      <c r="B1305" s="1" t="n">
        <v>44236</v>
      </c>
      <c r="C1305" s="1" t="n">
        <v>46035</v>
      </c>
      <c r="D1305" t="inlineStr">
        <is>
          <t>VÄRMLANDS LÄN</t>
        </is>
      </c>
      <c r="E1305" t="inlineStr">
        <is>
          <t>ÅRJÄNG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13481-2025</t>
        </is>
      </c>
      <c r="B1306" s="1" t="n">
        <v>45736</v>
      </c>
      <c r="C1306" s="1" t="n">
        <v>46035</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5416-2025</t>
        </is>
      </c>
      <c r="B1307" s="1" t="n">
        <v>45692.67990740741</v>
      </c>
      <c r="C1307" s="1" t="n">
        <v>46035</v>
      </c>
      <c r="D1307" t="inlineStr">
        <is>
          <t>VÄRMLANDS LÄN</t>
        </is>
      </c>
      <c r="E1307" t="inlineStr">
        <is>
          <t>ÅRJÄNG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21996-2021</t>
        </is>
      </c>
      <c r="B1308" s="1" t="n">
        <v>44323</v>
      </c>
      <c r="C1308" s="1" t="n">
        <v>46035</v>
      </c>
      <c r="D1308" t="inlineStr">
        <is>
          <t>VÄRMLANDS LÄN</t>
        </is>
      </c>
      <c r="E1308" t="inlineStr">
        <is>
          <t>ÅRJÄNG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48014-2023</t>
        </is>
      </c>
      <c r="B1309" s="1" t="n">
        <v>45198</v>
      </c>
      <c r="C1309" s="1" t="n">
        <v>46035</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19843-2025</t>
        </is>
      </c>
      <c r="B1310" s="1" t="n">
        <v>45771</v>
      </c>
      <c r="C1310" s="1" t="n">
        <v>46035</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10681-2024</t>
        </is>
      </c>
      <c r="B1311" s="1" t="n">
        <v>45369.36349537037</v>
      </c>
      <c r="C1311" s="1" t="n">
        <v>46035</v>
      </c>
      <c r="D1311" t="inlineStr">
        <is>
          <t>VÄRMLANDS LÄN</t>
        </is>
      </c>
      <c r="E1311" t="inlineStr">
        <is>
          <t>ÅRJÄNG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11718-2024</t>
        </is>
      </c>
      <c r="B1312" s="1" t="n">
        <v>45373.63803240741</v>
      </c>
      <c r="C1312" s="1" t="n">
        <v>46035</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58769-2024</t>
        </is>
      </c>
      <c r="B1313" s="1" t="n">
        <v>45635.75688657408</v>
      </c>
      <c r="C1313" s="1" t="n">
        <v>46035</v>
      </c>
      <c r="D1313" t="inlineStr">
        <is>
          <t>VÄRMLANDS LÄN</t>
        </is>
      </c>
      <c r="E1313" t="inlineStr">
        <is>
          <t>ÅRJÄNG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3463-2025</t>
        </is>
      </c>
      <c r="B1314" s="1" t="n">
        <v>45680.49807870371</v>
      </c>
      <c r="C1314" s="1" t="n">
        <v>46035</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54900-2024</t>
        </is>
      </c>
      <c r="B1315" s="1" t="n">
        <v>45618.64770833333</v>
      </c>
      <c r="C1315" s="1" t="n">
        <v>46035</v>
      </c>
      <c r="D1315" t="inlineStr">
        <is>
          <t>VÄRMLANDS LÄN</t>
        </is>
      </c>
      <c r="E1315" t="inlineStr">
        <is>
          <t>ÅRJÄNG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48781-2024</t>
        </is>
      </c>
      <c r="B1316" s="1" t="n">
        <v>45593</v>
      </c>
      <c r="C1316" s="1" t="n">
        <v>46035</v>
      </c>
      <c r="D1316" t="inlineStr">
        <is>
          <t>VÄRMLANDS LÄN</t>
        </is>
      </c>
      <c r="E1316" t="inlineStr">
        <is>
          <t>ÅRJÄNG</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23940-2023</t>
        </is>
      </c>
      <c r="B1317" s="1" t="n">
        <v>45075</v>
      </c>
      <c r="C1317" s="1" t="n">
        <v>46035</v>
      </c>
      <c r="D1317" t="inlineStr">
        <is>
          <t>VÄRMLANDS LÄN</t>
        </is>
      </c>
      <c r="E1317" t="inlineStr">
        <is>
          <t>ÅRJÄNG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39536-2022</t>
        </is>
      </c>
      <c r="B1318" s="1" t="n">
        <v>44818</v>
      </c>
      <c r="C1318" s="1" t="n">
        <v>46035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5095-2022</t>
        </is>
      </c>
      <c r="B1319" s="1" t="n">
        <v>44593.86192129629</v>
      </c>
      <c r="C1319" s="1" t="n">
        <v>46035</v>
      </c>
      <c r="D1319" t="inlineStr">
        <is>
          <t>VÄRMLANDS LÄN</t>
        </is>
      </c>
      <c r="E1319" t="inlineStr">
        <is>
          <t>ÅRJÄNG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2-2024</t>
        </is>
      </c>
      <c r="B1320" s="1" t="n">
        <v>45292.54944444444</v>
      </c>
      <c r="C1320" s="1" t="n">
        <v>46035</v>
      </c>
      <c r="D1320" t="inlineStr">
        <is>
          <t>VÄRMLANDS LÄN</t>
        </is>
      </c>
      <c r="E1320" t="inlineStr">
        <is>
          <t>ÅRJÄNG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7995-2025</t>
        </is>
      </c>
      <c r="B1321" s="1" t="n">
        <v>45707.515625</v>
      </c>
      <c r="C1321" s="1" t="n">
        <v>46035</v>
      </c>
      <c r="D1321" t="inlineStr">
        <is>
          <t>VÄRMLANDS LÄN</t>
        </is>
      </c>
      <c r="E1321" t="inlineStr">
        <is>
          <t>ÅRJÄNG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58014-2022</t>
        </is>
      </c>
      <c r="B1322" s="1" t="n">
        <v>44893</v>
      </c>
      <c r="C1322" s="1" t="n">
        <v>46035</v>
      </c>
      <c r="D1322" t="inlineStr">
        <is>
          <t>VÄRMLANDS LÄN</t>
        </is>
      </c>
      <c r="E1322" t="inlineStr">
        <is>
          <t>ÅRJÄNG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36018-2024</t>
        </is>
      </c>
      <c r="B1323" s="1" t="n">
        <v>45533</v>
      </c>
      <c r="C1323" s="1" t="n">
        <v>46035</v>
      </c>
      <c r="D1323" t="inlineStr">
        <is>
          <t>VÄRMLANDS LÄN</t>
        </is>
      </c>
      <c r="E1323" t="inlineStr">
        <is>
          <t>ÅRJÄNG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36035-2024</t>
        </is>
      </c>
      <c r="B1324" s="1" t="n">
        <v>45533.59534722222</v>
      </c>
      <c r="C1324" s="1" t="n">
        <v>46035</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6646-2025</t>
        </is>
      </c>
      <c r="B1325" s="1" t="n">
        <v>45700</v>
      </c>
      <c r="C1325" s="1" t="n">
        <v>46035</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58152-2024</t>
        </is>
      </c>
      <c r="B1326" s="1" t="n">
        <v>45632.43947916666</v>
      </c>
      <c r="C1326" s="1" t="n">
        <v>46035</v>
      </c>
      <c r="D1326" t="inlineStr">
        <is>
          <t>VÄRMLANDS LÄN</t>
        </is>
      </c>
      <c r="E1326" t="inlineStr">
        <is>
          <t>ÅRJÄNG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10625-2025</t>
        </is>
      </c>
      <c r="B1327" s="1" t="n">
        <v>45721</v>
      </c>
      <c r="C1327" s="1" t="n">
        <v>46035</v>
      </c>
      <c r="D1327" t="inlineStr">
        <is>
          <t>VÄRMLANDS LÄN</t>
        </is>
      </c>
      <c r="E1327" t="inlineStr">
        <is>
          <t>ÅRJÄNG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10627-2025</t>
        </is>
      </c>
      <c r="B1328" s="1" t="n">
        <v>45721</v>
      </c>
      <c r="C1328" s="1" t="n">
        <v>46035</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3471-2023</t>
        </is>
      </c>
      <c r="B1329" s="1" t="n">
        <v>44949</v>
      </c>
      <c r="C1329" s="1" t="n">
        <v>46035</v>
      </c>
      <c r="D1329" t="inlineStr">
        <is>
          <t>VÄRMLANDS LÄN</t>
        </is>
      </c>
      <c r="E1329" t="inlineStr">
        <is>
          <t>ÅRJÄNG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59617-2022</t>
        </is>
      </c>
      <c r="B1330" s="1" t="n">
        <v>44907</v>
      </c>
      <c r="C1330" s="1" t="n">
        <v>46035</v>
      </c>
      <c r="D1330" t="inlineStr">
        <is>
          <t>VÄRMLANDS LÄN</t>
        </is>
      </c>
      <c r="E1330" t="inlineStr">
        <is>
          <t>ÅRJÄNG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59887-2023</t>
        </is>
      </c>
      <c r="B1331" s="1" t="n">
        <v>45257.59917824074</v>
      </c>
      <c r="C1331" s="1" t="n">
        <v>46035</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37382-2024</t>
        </is>
      </c>
      <c r="B1332" s="1" t="n">
        <v>45540</v>
      </c>
      <c r="C1332" s="1" t="n">
        <v>46035</v>
      </c>
      <c r="D1332" t="inlineStr">
        <is>
          <t>VÄRMLANDS LÄN</t>
        </is>
      </c>
      <c r="E1332" t="inlineStr">
        <is>
          <t>ÅRJÄNG</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65171-2023</t>
        </is>
      </c>
      <c r="B1333" s="1" t="n">
        <v>45288.71099537037</v>
      </c>
      <c r="C1333" s="1" t="n">
        <v>46035</v>
      </c>
      <c r="D1333" t="inlineStr">
        <is>
          <t>VÄRMLANDS LÄN</t>
        </is>
      </c>
      <c r="E1333" t="inlineStr">
        <is>
          <t>ÅRJÄNG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59071-2024</t>
        </is>
      </c>
      <c r="B1334" s="1" t="n">
        <v>45636.96637731481</v>
      </c>
      <c r="C1334" s="1" t="n">
        <v>46035</v>
      </c>
      <c r="D1334" t="inlineStr">
        <is>
          <t>VÄRMLANDS LÄN</t>
        </is>
      </c>
      <c r="E1334" t="inlineStr">
        <is>
          <t>ÅRJÄNG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59073-2024</t>
        </is>
      </c>
      <c r="B1335" s="1" t="n">
        <v>45636.97232638889</v>
      </c>
      <c r="C1335" s="1" t="n">
        <v>46035</v>
      </c>
      <c r="D1335" t="inlineStr">
        <is>
          <t>VÄRMLANDS LÄN</t>
        </is>
      </c>
      <c r="E1335" t="inlineStr">
        <is>
          <t>ÅRJÄNG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28864-2023</t>
        </is>
      </c>
      <c r="B1336" s="1" t="n">
        <v>45104</v>
      </c>
      <c r="C1336" s="1" t="n">
        <v>46035</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10117-2023</t>
        </is>
      </c>
      <c r="B1337" s="1" t="n">
        <v>44986.34331018518</v>
      </c>
      <c r="C1337" s="1" t="n">
        <v>46035</v>
      </c>
      <c r="D1337" t="inlineStr">
        <is>
          <t>VÄRMLANDS LÄN</t>
        </is>
      </c>
      <c r="E1337" t="inlineStr">
        <is>
          <t>ÅRJÄNG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15579-2025</t>
        </is>
      </c>
      <c r="B1338" s="1" t="n">
        <v>45747</v>
      </c>
      <c r="C1338" s="1" t="n">
        <v>46035</v>
      </c>
      <c r="D1338" t="inlineStr">
        <is>
          <t>VÄRMLANDS LÄN</t>
        </is>
      </c>
      <c r="E1338" t="inlineStr">
        <is>
          <t>ÅRJÄNG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15303-2025</t>
        </is>
      </c>
      <c r="B1339" s="1" t="n">
        <v>45746</v>
      </c>
      <c r="C1339" s="1" t="n">
        <v>46035</v>
      </c>
      <c r="D1339" t="inlineStr">
        <is>
          <t>VÄRMLANDS LÄN</t>
        </is>
      </c>
      <c r="E1339" t="inlineStr">
        <is>
          <t>ÅRJÄNG</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11401-2025</t>
        </is>
      </c>
      <c r="B1340" s="1" t="n">
        <v>45726</v>
      </c>
      <c r="C1340" s="1" t="n">
        <v>46035</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58789-2024</t>
        </is>
      </c>
      <c r="B1341" s="1" t="n">
        <v>45635.98438657408</v>
      </c>
      <c r="C1341" s="1" t="n">
        <v>46035</v>
      </c>
      <c r="D1341" t="inlineStr">
        <is>
          <t>VÄRMLANDS LÄN</t>
        </is>
      </c>
      <c r="E1341" t="inlineStr">
        <is>
          <t>ÅRJÄNG</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32550-2024</t>
        </is>
      </c>
      <c r="B1342" s="1" t="n">
        <v>45513.50606481481</v>
      </c>
      <c r="C1342" s="1" t="n">
        <v>46035</v>
      </c>
      <c r="D1342" t="inlineStr">
        <is>
          <t>VÄRMLANDS LÄN</t>
        </is>
      </c>
      <c r="E1342" t="inlineStr">
        <is>
          <t>ÅRJÄNG</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46319-2024</t>
        </is>
      </c>
      <c r="B1343" s="1" t="n">
        <v>45581.760625</v>
      </c>
      <c r="C1343" s="1" t="n">
        <v>46035</v>
      </c>
      <c r="D1343" t="inlineStr">
        <is>
          <t>VÄRMLANDS LÄN</t>
        </is>
      </c>
      <c r="E1343" t="inlineStr">
        <is>
          <t>ÅRJÄNG</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15230-2025</t>
        </is>
      </c>
      <c r="B1344" s="1" t="n">
        <v>45744</v>
      </c>
      <c r="C1344" s="1" t="n">
        <v>46035</v>
      </c>
      <c r="D1344" t="inlineStr">
        <is>
          <t>VÄRMLANDS LÄN</t>
        </is>
      </c>
      <c r="E1344" t="inlineStr">
        <is>
          <t>ÅRJÄNG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20372-2025</t>
        </is>
      </c>
      <c r="B1345" s="1" t="n">
        <v>45775.42027777778</v>
      </c>
      <c r="C1345" s="1" t="n">
        <v>46035</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c r="A1346" t="inlineStr">
        <is>
          <t>A 45634-2023</t>
        </is>
      </c>
      <c r="B1346" s="1" t="n">
        <v>45194</v>
      </c>
      <c r="C1346" s="1" t="n">
        <v>46035</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2026-01-13T10:52:20Z</dcterms:created>
  <dcterms:modified xmlns:dcterms="http://purl.org/dc/terms/" xmlns:xsi="http://www.w3.org/2001/XMLSchema-instance" xsi:type="dcterms:W3CDTF">2026-01-13T10:52:21Z</dcterms:modified>
</cp:coreProperties>
</file>